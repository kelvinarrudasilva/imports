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ate1904="1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kelvin\Downloads\"/>
    </mc:Choice>
  </mc:AlternateContent>
  <xr:revisionPtr revIDLastSave="0" documentId="8_{B5DB8BAD-63B9-4A50-98B7-A534D1CD92AD}" xr6:coauthVersionLast="47" xr6:coauthVersionMax="47" xr10:uidLastSave="{00000000-0000-0000-0000-000000000000}"/>
  <bookViews>
    <workbookView xWindow="-108" yWindow="-108" windowWidth="23256" windowHeight="13896" xr2:uid="{FD28365F-9D81-475C-9D2F-5AD084614798}"/>
  </bookViews>
  <sheets>
    <sheet name="ESTOQUE" sheetId="24" r:id="rId1"/>
    <sheet name="VENDAS" sheetId="25" r:id="rId2"/>
    <sheet name="COMPRAS" sheetId="26" r:id="rId3"/>
    <sheet name="EXCELENTEJOAO" sheetId="2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5" l="1"/>
  <c r="I37" i="25" s="1"/>
  <c r="F37" i="25"/>
  <c r="G150" i="26"/>
  <c r="G149" i="26"/>
  <c r="G148" i="26"/>
  <c r="G36" i="25"/>
  <c r="H36" i="25" s="1"/>
  <c r="F36" i="25"/>
  <c r="G35" i="25"/>
  <c r="J35" i="25" s="1"/>
  <c r="F35" i="25"/>
  <c r="G34" i="25"/>
  <c r="J34" i="25" s="1"/>
  <c r="F34" i="25"/>
  <c r="G33" i="25"/>
  <c r="J33" i="25" s="1"/>
  <c r="F33" i="25"/>
  <c r="G32" i="25"/>
  <c r="J32" i="25" s="1"/>
  <c r="F32" i="25"/>
  <c r="G147" i="26"/>
  <c r="G146" i="26"/>
  <c r="G145" i="26"/>
  <c r="D98" i="24"/>
  <c r="E98" i="24"/>
  <c r="F98" i="24"/>
  <c r="G98" i="24"/>
  <c r="G144" i="26"/>
  <c r="D97" i="24"/>
  <c r="E97" i="24"/>
  <c r="F97" i="24"/>
  <c r="G97" i="24"/>
  <c r="G143" i="26"/>
  <c r="D96" i="24"/>
  <c r="E96" i="24"/>
  <c r="F96" i="24"/>
  <c r="G96" i="24"/>
  <c r="G142" i="26"/>
  <c r="G141" i="26"/>
  <c r="F31" i="25"/>
  <c r="G31" i="25"/>
  <c r="H31" i="25" s="1"/>
  <c r="G140" i="26"/>
  <c r="G139" i="26"/>
  <c r="F30" i="25"/>
  <c r="G30" i="25"/>
  <c r="H30" i="25" s="1"/>
  <c r="J37" i="25" l="1"/>
  <c r="H37" i="25"/>
  <c r="I35" i="25"/>
  <c r="I36" i="25"/>
  <c r="J36" i="25"/>
  <c r="H32" i="25"/>
  <c r="I32" i="25"/>
  <c r="H33" i="25"/>
  <c r="I33" i="25"/>
  <c r="H34" i="25"/>
  <c r="I34" i="25"/>
  <c r="H35" i="25"/>
  <c r="C98" i="24"/>
  <c r="C97" i="24"/>
  <c r="C96" i="24"/>
  <c r="J31" i="25"/>
  <c r="I31" i="25"/>
  <c r="J30" i="25"/>
  <c r="I30" i="25"/>
  <c r="F29" i="25"/>
  <c r="G29" i="25"/>
  <c r="H29" i="25" s="1"/>
  <c r="G138" i="26"/>
  <c r="D95" i="24"/>
  <c r="E95" i="24"/>
  <c r="F95" i="24"/>
  <c r="G95" i="24"/>
  <c r="G137" i="26"/>
  <c r="D94" i="24"/>
  <c r="E94" i="24"/>
  <c r="F94" i="24"/>
  <c r="G94" i="24"/>
  <c r="G136" i="26"/>
  <c r="G135" i="26"/>
  <c r="D93" i="24"/>
  <c r="E93" i="24"/>
  <c r="F93" i="24"/>
  <c r="G93" i="24"/>
  <c r="D92" i="24"/>
  <c r="E92" i="24"/>
  <c r="F92" i="24"/>
  <c r="G92" i="24"/>
  <c r="G134" i="26"/>
  <c r="G133" i="26"/>
  <c r="G132" i="26"/>
  <c r="D91" i="24"/>
  <c r="E91" i="24"/>
  <c r="F91" i="24"/>
  <c r="G91" i="24"/>
  <c r="D90" i="24"/>
  <c r="E90" i="24"/>
  <c r="F90" i="24"/>
  <c r="G90" i="24"/>
  <c r="D89" i="24"/>
  <c r="E89" i="24"/>
  <c r="F89" i="24"/>
  <c r="G89" i="24"/>
  <c r="G131" i="26"/>
  <c r="F28" i="25"/>
  <c r="G28" i="25"/>
  <c r="H28" i="25" s="1"/>
  <c r="F27" i="25"/>
  <c r="G27" i="25"/>
  <c r="H27" i="25" s="1"/>
  <c r="G130" i="26"/>
  <c r="G129" i="26"/>
  <c r="D88" i="24"/>
  <c r="E88" i="24"/>
  <c r="F88" i="24"/>
  <c r="G88" i="24"/>
  <c r="D87" i="24"/>
  <c r="E87" i="24"/>
  <c r="F87" i="24"/>
  <c r="G87" i="24"/>
  <c r="G128" i="26"/>
  <c r="G127" i="26"/>
  <c r="D86" i="24"/>
  <c r="E86" i="24"/>
  <c r="F86" i="24"/>
  <c r="G86" i="24"/>
  <c r="G126" i="26"/>
  <c r="G125" i="26"/>
  <c r="G124" i="26"/>
  <c r="D85" i="24"/>
  <c r="E85" i="24"/>
  <c r="F85" i="24"/>
  <c r="G85" i="24"/>
  <c r="G123" i="26"/>
  <c r="G122" i="26"/>
  <c r="F26" i="25"/>
  <c r="G26" i="25"/>
  <c r="H26" i="25" s="1"/>
  <c r="G25" i="25"/>
  <c r="J25" i="25" s="1"/>
  <c r="F25" i="25"/>
  <c r="G121" i="26"/>
  <c r="G120" i="26"/>
  <c r="D84" i="24"/>
  <c r="E84" i="24"/>
  <c r="F84" i="24"/>
  <c r="G84" i="24"/>
  <c r="G119" i="26"/>
  <c r="D83" i="24"/>
  <c r="E83" i="24"/>
  <c r="F83" i="24"/>
  <c r="G83" i="24"/>
  <c r="G118" i="26"/>
  <c r="F24" i="25"/>
  <c r="G24" i="25"/>
  <c r="H24" i="25" s="1"/>
  <c r="F23" i="25"/>
  <c r="G23" i="25"/>
  <c r="H23" i="25" s="1"/>
  <c r="D82" i="24"/>
  <c r="E82" i="24"/>
  <c r="F82" i="24"/>
  <c r="G82" i="24"/>
  <c r="G117" i="26"/>
  <c r="D81" i="24"/>
  <c r="E81" i="24"/>
  <c r="F81" i="24"/>
  <c r="G81" i="24"/>
  <c r="G116" i="26"/>
  <c r="F9" i="24"/>
  <c r="F10" i="24"/>
  <c r="F5" i="24"/>
  <c r="F22" i="24"/>
  <c r="F23" i="24"/>
  <c r="F24" i="24"/>
  <c r="F4" i="24"/>
  <c r="F25" i="24"/>
  <c r="F26" i="24"/>
  <c r="F27" i="24"/>
  <c r="F28" i="24"/>
  <c r="F29" i="24"/>
  <c r="F30" i="24"/>
  <c r="F31" i="24"/>
  <c r="F6" i="24"/>
  <c r="F7" i="24"/>
  <c r="F32" i="24"/>
  <c r="F33" i="24"/>
  <c r="F11" i="24"/>
  <c r="F12" i="24"/>
  <c r="F13" i="24"/>
  <c r="F14" i="24"/>
  <c r="F34" i="24"/>
  <c r="F35" i="24"/>
  <c r="F36" i="24"/>
  <c r="F15" i="24"/>
  <c r="F37" i="24"/>
  <c r="F38" i="24"/>
  <c r="F8" i="24"/>
  <c r="F16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17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18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19" i="24"/>
  <c r="F20" i="24"/>
  <c r="F80" i="24"/>
  <c r="F21" i="24"/>
  <c r="E19" i="24"/>
  <c r="E20" i="24"/>
  <c r="E80" i="24"/>
  <c r="E21" i="24"/>
  <c r="E52" i="24"/>
  <c r="E17" i="24"/>
  <c r="E15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18" i="24"/>
  <c r="E67" i="24"/>
  <c r="E68" i="24"/>
  <c r="E69" i="24"/>
  <c r="E70" i="24"/>
  <c r="E71" i="24"/>
  <c r="E72" i="24"/>
  <c r="E73" i="24"/>
  <c r="E37" i="24"/>
  <c r="E74" i="24"/>
  <c r="E75" i="24"/>
  <c r="E76" i="24"/>
  <c r="E77" i="24"/>
  <c r="E38" i="24"/>
  <c r="E78" i="24"/>
  <c r="E79" i="24"/>
  <c r="E8" i="24"/>
  <c r="E16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13" i="24"/>
  <c r="E14" i="24"/>
  <c r="E34" i="24"/>
  <c r="E35" i="24"/>
  <c r="E31" i="24"/>
  <c r="E36" i="24"/>
  <c r="E6" i="24"/>
  <c r="E7" i="24"/>
  <c r="E32" i="24"/>
  <c r="E33" i="24"/>
  <c r="E11" i="24"/>
  <c r="E12" i="24"/>
  <c r="E27" i="24"/>
  <c r="E28" i="24"/>
  <c r="E29" i="24"/>
  <c r="E30" i="24"/>
  <c r="E26" i="24"/>
  <c r="E4" i="24"/>
  <c r="E25" i="24"/>
  <c r="E24" i="24"/>
  <c r="E23" i="24"/>
  <c r="E5" i="24"/>
  <c r="E22" i="24"/>
  <c r="E10" i="24"/>
  <c r="E9" i="24"/>
  <c r="G4" i="25"/>
  <c r="G5" i="25"/>
  <c r="G6" i="25"/>
  <c r="G7" i="25"/>
  <c r="G8" i="25"/>
  <c r="G9" i="25"/>
  <c r="G10" i="25"/>
  <c r="G11" i="25"/>
  <c r="I11" i="25" s="1"/>
  <c r="G12" i="25"/>
  <c r="I12" i="25" s="1"/>
  <c r="G13" i="25"/>
  <c r="H13" i="25" s="1"/>
  <c r="G14" i="25"/>
  <c r="H14" i="25" s="1"/>
  <c r="G15" i="25"/>
  <c r="H15" i="25" s="1"/>
  <c r="G16" i="25"/>
  <c r="H16" i="25" s="1"/>
  <c r="G17" i="25"/>
  <c r="H17" i="25" s="1"/>
  <c r="G18" i="25"/>
  <c r="H18" i="25" s="1"/>
  <c r="G19" i="25"/>
  <c r="H19" i="25" s="1"/>
  <c r="G20" i="25"/>
  <c r="H20" i="25" s="1"/>
  <c r="G21" i="25"/>
  <c r="H21" i="25" s="1"/>
  <c r="G22" i="25"/>
  <c r="H22" i="25" s="1"/>
  <c r="G115" i="26"/>
  <c r="G114" i="26"/>
  <c r="G113" i="26"/>
  <c r="G112" i="26"/>
  <c r="F22" i="25"/>
  <c r="G111" i="26"/>
  <c r="G110" i="26"/>
  <c r="G109" i="26"/>
  <c r="G108" i="26"/>
  <c r="G107" i="26"/>
  <c r="G106" i="26"/>
  <c r="G105" i="26"/>
  <c r="D79" i="24"/>
  <c r="G79" i="24"/>
  <c r="G104" i="26"/>
  <c r="G103" i="26"/>
  <c r="G102" i="26"/>
  <c r="F21" i="25"/>
  <c r="F20" i="25"/>
  <c r="F19" i="25"/>
  <c r="G101" i="26"/>
  <c r="F18" i="25"/>
  <c r="F17" i="25"/>
  <c r="G100" i="26"/>
  <c r="D21" i="24"/>
  <c r="G21" i="24"/>
  <c r="D78" i="24"/>
  <c r="G78" i="24"/>
  <c r="G99" i="26"/>
  <c r="G98" i="26"/>
  <c r="D36" i="24"/>
  <c r="G36" i="24"/>
  <c r="G97" i="26"/>
  <c r="D77" i="24"/>
  <c r="G77" i="24"/>
  <c r="G96" i="26"/>
  <c r="G95" i="26"/>
  <c r="D26" i="24"/>
  <c r="G26" i="24"/>
  <c r="G94" i="26"/>
  <c r="G93" i="26"/>
  <c r="G92" i="26"/>
  <c r="F16" i="25"/>
  <c r="F15" i="25"/>
  <c r="G91" i="26"/>
  <c r="D24" i="24"/>
  <c r="G24" i="24"/>
  <c r="G90" i="26"/>
  <c r="G89" i="26"/>
  <c r="G88" i="26"/>
  <c r="D50" i="24"/>
  <c r="G50" i="24"/>
  <c r="D35" i="24"/>
  <c r="G35" i="24"/>
  <c r="G87" i="26"/>
  <c r="D76" i="24"/>
  <c r="G76" i="24"/>
  <c r="G86" i="26"/>
  <c r="D15" i="24"/>
  <c r="G15" i="24"/>
  <c r="G85" i="26"/>
  <c r="G84" i="26"/>
  <c r="G83" i="26"/>
  <c r="G82" i="26"/>
  <c r="D49" i="24"/>
  <c r="G49" i="24"/>
  <c r="F13" i="25"/>
  <c r="F12" i="25"/>
  <c r="F11" i="25"/>
  <c r="G81" i="26"/>
  <c r="D48" i="24"/>
  <c r="G48" i="24"/>
  <c r="G80" i="26"/>
  <c r="G79" i="26"/>
  <c r="G78" i="26"/>
  <c r="F10" i="25"/>
  <c r="G77" i="26"/>
  <c r="G76" i="26"/>
  <c r="G75" i="26"/>
  <c r="G74" i="26"/>
  <c r="G73" i="26"/>
  <c r="D12" i="24"/>
  <c r="G12" i="24"/>
  <c r="G72" i="26"/>
  <c r="D75" i="24"/>
  <c r="G75" i="24"/>
  <c r="F9" i="25"/>
  <c r="F8" i="25"/>
  <c r="F7" i="25"/>
  <c r="G71" i="26"/>
  <c r="D11" i="24"/>
  <c r="G11" i="24"/>
  <c r="D34" i="24"/>
  <c r="G34" i="24"/>
  <c r="G70" i="26"/>
  <c r="D74" i="24"/>
  <c r="G74" i="24"/>
  <c r="G69" i="26"/>
  <c r="G68" i="26"/>
  <c r="G67" i="26"/>
  <c r="D37" i="24"/>
  <c r="G37" i="24"/>
  <c r="G66" i="26"/>
  <c r="D47" i="24"/>
  <c r="G47" i="24"/>
  <c r="G65" i="26"/>
  <c r="G64" i="26"/>
  <c r="G10" i="26"/>
  <c r="D51" i="24"/>
  <c r="G51" i="24"/>
  <c r="G9" i="26"/>
  <c r="G8" i="26"/>
  <c r="F6" i="25"/>
  <c r="F5" i="25"/>
  <c r="F4" i="25"/>
  <c r="G7" i="26"/>
  <c r="G6" i="26"/>
  <c r="G5" i="26"/>
  <c r="G4" i="26"/>
  <c r="D31" i="24"/>
  <c r="G31" i="24"/>
  <c r="D23" i="24"/>
  <c r="G23" i="24"/>
  <c r="D52" i="24"/>
  <c r="G52" i="24"/>
  <c r="D38" i="24"/>
  <c r="G38" i="24"/>
  <c r="C95" i="24" l="1"/>
  <c r="J29" i="25"/>
  <c r="I29" i="25"/>
  <c r="C94" i="24"/>
  <c r="C93" i="24"/>
  <c r="C92" i="24"/>
  <c r="C91" i="24"/>
  <c r="C90" i="24"/>
  <c r="C89" i="24"/>
  <c r="J27" i="25"/>
  <c r="I27" i="25"/>
  <c r="J28" i="25"/>
  <c r="I28" i="25"/>
  <c r="C88" i="24"/>
  <c r="C87" i="24"/>
  <c r="C86" i="24"/>
  <c r="C85" i="24"/>
  <c r="J26" i="25"/>
  <c r="I26" i="25"/>
  <c r="C84" i="24"/>
  <c r="H25" i="25"/>
  <c r="I25" i="25"/>
  <c r="C83" i="24"/>
  <c r="J24" i="25"/>
  <c r="I24" i="25"/>
  <c r="J23" i="25"/>
  <c r="I23" i="25"/>
  <c r="C82" i="24"/>
  <c r="C81" i="24"/>
  <c r="J22" i="25"/>
  <c r="I22" i="25"/>
  <c r="C79" i="24"/>
  <c r="J21" i="25"/>
  <c r="I21" i="25"/>
  <c r="J20" i="25"/>
  <c r="I20" i="25"/>
  <c r="J19" i="25"/>
  <c r="I19" i="25"/>
  <c r="J18" i="25"/>
  <c r="I18" i="25"/>
  <c r="J17" i="25"/>
  <c r="I17" i="25"/>
  <c r="C21" i="24"/>
  <c r="C78" i="24"/>
  <c r="C36" i="24"/>
  <c r="C77" i="24"/>
  <c r="C26" i="24"/>
  <c r="J16" i="25"/>
  <c r="I16" i="25"/>
  <c r="J15" i="25"/>
  <c r="I15" i="25"/>
  <c r="C24" i="24"/>
  <c r="C50" i="24"/>
  <c r="C35" i="24"/>
  <c r="C76" i="24"/>
  <c r="C15" i="24"/>
  <c r="C49" i="24"/>
  <c r="J13" i="25"/>
  <c r="I13" i="25"/>
  <c r="J14" i="25"/>
  <c r="I14" i="25"/>
  <c r="H12" i="25"/>
  <c r="J12" i="25"/>
  <c r="J11" i="25"/>
  <c r="H11" i="25"/>
  <c r="C48" i="24"/>
  <c r="I6" i="25"/>
  <c r="J6" i="25"/>
  <c r="I5" i="25"/>
  <c r="J5" i="25"/>
  <c r="I4" i="25"/>
  <c r="J4" i="25"/>
  <c r="I7" i="25"/>
  <c r="J7" i="25"/>
  <c r="I8" i="25"/>
  <c r="J8" i="25"/>
  <c r="I9" i="25"/>
  <c r="J9" i="25"/>
  <c r="I10" i="25"/>
  <c r="J10" i="25"/>
  <c r="H9" i="25"/>
  <c r="H10" i="25"/>
  <c r="H4" i="25"/>
  <c r="H6" i="25"/>
  <c r="H5" i="25"/>
  <c r="H7" i="25"/>
  <c r="H8" i="25"/>
  <c r="C12" i="24"/>
  <c r="C75" i="24"/>
  <c r="C11" i="24"/>
  <c r="C34" i="24"/>
  <c r="C74" i="24"/>
  <c r="C37" i="24"/>
  <c r="C47" i="24"/>
  <c r="C51" i="24"/>
  <c r="C23" i="24"/>
  <c r="C31" i="24"/>
  <c r="C52" i="24"/>
  <c r="C38" i="24"/>
  <c r="G63" i="26"/>
  <c r="G13" i="26"/>
  <c r="G15" i="26"/>
  <c r="G11" i="26"/>
  <c r="G12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D10" i="24"/>
  <c r="G10" i="24"/>
  <c r="D9" i="24"/>
  <c r="G9" i="24"/>
  <c r="D30" i="24"/>
  <c r="D43" i="24"/>
  <c r="D44" i="24"/>
  <c r="D25" i="24"/>
  <c r="D63" i="24"/>
  <c r="G30" i="24"/>
  <c r="G43" i="24"/>
  <c r="G44" i="24"/>
  <c r="G25" i="24"/>
  <c r="G63" i="24"/>
  <c r="D80" i="24"/>
  <c r="D64" i="24"/>
  <c r="D65" i="24"/>
  <c r="D70" i="24"/>
  <c r="D14" i="24"/>
  <c r="D45" i="24"/>
  <c r="D69" i="24"/>
  <c r="D66" i="24"/>
  <c r="D18" i="24"/>
  <c r="D71" i="24"/>
  <c r="D67" i="24"/>
  <c r="D68" i="24"/>
  <c r="D73" i="24"/>
  <c r="D46" i="24"/>
  <c r="D72" i="24"/>
  <c r="G80" i="24"/>
  <c r="G64" i="24"/>
  <c r="G65" i="24"/>
  <c r="G70" i="24"/>
  <c r="G14" i="24"/>
  <c r="G45" i="24"/>
  <c r="G69" i="24"/>
  <c r="G66" i="24"/>
  <c r="G18" i="24"/>
  <c r="G71" i="24"/>
  <c r="G67" i="24"/>
  <c r="G68" i="24"/>
  <c r="G73" i="24"/>
  <c r="G46" i="24"/>
  <c r="G72" i="24"/>
  <c r="D33" i="24"/>
  <c r="D61" i="24"/>
  <c r="D5" i="24"/>
  <c r="D32" i="24"/>
  <c r="D8" i="24"/>
  <c r="D39" i="24"/>
  <c r="D22" i="24"/>
  <c r="D13" i="24"/>
  <c r="D28" i="24"/>
  <c r="D29" i="24"/>
  <c r="D62" i="24"/>
  <c r="D17" i="24"/>
  <c r="D40" i="24"/>
  <c r="D53" i="24"/>
  <c r="D55" i="24"/>
  <c r="D54" i="24"/>
  <c r="D19" i="24"/>
  <c r="D57" i="24"/>
  <c r="D58" i="24"/>
  <c r="D20" i="24"/>
  <c r="D6" i="24"/>
  <c r="D56" i="24"/>
  <c r="D60" i="24"/>
  <c r="D27" i="24"/>
  <c r="D59" i="24"/>
  <c r="D7" i="24"/>
  <c r="D41" i="24"/>
  <c r="D42" i="24"/>
  <c r="D16" i="24"/>
  <c r="G33" i="24"/>
  <c r="G61" i="24"/>
  <c r="G5" i="24"/>
  <c r="G32" i="24"/>
  <c r="G8" i="24"/>
  <c r="G39" i="24"/>
  <c r="G22" i="24"/>
  <c r="G13" i="24"/>
  <c r="G28" i="24"/>
  <c r="G29" i="24"/>
  <c r="G62" i="24"/>
  <c r="G17" i="24"/>
  <c r="G40" i="24"/>
  <c r="G53" i="24"/>
  <c r="G55" i="24"/>
  <c r="G54" i="24"/>
  <c r="G19" i="24"/>
  <c r="G57" i="24"/>
  <c r="G58" i="24"/>
  <c r="G20" i="24"/>
  <c r="G6" i="24"/>
  <c r="G56" i="24"/>
  <c r="G60" i="24"/>
  <c r="G27" i="24"/>
  <c r="G59" i="24"/>
  <c r="G7" i="24"/>
  <c r="G41" i="24"/>
  <c r="G42" i="24"/>
  <c r="G16" i="24"/>
  <c r="D4" i="24"/>
  <c r="G4" i="24"/>
  <c r="C9" i="24" l="1"/>
  <c r="C45" i="24"/>
  <c r="C63" i="24"/>
  <c r="C14" i="24"/>
  <c r="C25" i="24"/>
  <c r="C44" i="24"/>
  <c r="C66" i="24"/>
  <c r="C62" i="24"/>
  <c r="C29" i="24"/>
  <c r="C69" i="24"/>
  <c r="C10" i="24"/>
  <c r="C16" i="24"/>
  <c r="C40" i="24"/>
  <c r="C71" i="24"/>
  <c r="C42" i="24"/>
  <c r="C17" i="24"/>
  <c r="C18" i="24"/>
  <c r="C68" i="24"/>
  <c r="C67" i="24"/>
  <c r="C43" i="24"/>
  <c r="C30" i="24"/>
  <c r="C72" i="24"/>
  <c r="C27" i="24"/>
  <c r="C13" i="24"/>
  <c r="C57" i="24"/>
  <c r="C61" i="24"/>
  <c r="C60" i="24"/>
  <c r="C22" i="24"/>
  <c r="C19" i="24"/>
  <c r="C33" i="24"/>
  <c r="C56" i="24"/>
  <c r="C55" i="24"/>
  <c r="C46" i="24"/>
  <c r="C39" i="24"/>
  <c r="C54" i="24"/>
  <c r="C53" i="24"/>
  <c r="C73" i="24"/>
  <c r="C41" i="24"/>
  <c r="C6" i="24"/>
  <c r="C8" i="24"/>
  <c r="C70" i="24"/>
  <c r="C20" i="24"/>
  <c r="C32" i="24"/>
  <c r="C65" i="24"/>
  <c r="C7" i="24"/>
  <c r="C59" i="24"/>
  <c r="C28" i="24"/>
  <c r="C58" i="24"/>
  <c r="C5" i="24"/>
  <c r="C64" i="24"/>
  <c r="C80" i="24"/>
  <c r="C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tc={6C10F0AB-1700-47E2-9183-B4633FB141BA}</author>
  </authors>
  <commentList>
    <comment ref="N7" authorId="0" shapeId="0" xr:uid="{6C10F0AB-1700-47E2-9183-B4633FB141B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 2K - NOVEMBRO</t>
      </text>
    </comment>
  </commentList>
</comments>
</file>

<file path=xl/sharedStrings.xml><?xml version="1.0" encoding="utf-8"?>
<sst xmlns="http://schemas.openxmlformats.org/spreadsheetml/2006/main" count="589" uniqueCount="176">
  <si>
    <t>STATUS</t>
  </si>
  <si>
    <t>FATURADO</t>
  </si>
  <si>
    <t>CABO BASEUS USBC 2MT 20W SC</t>
  </si>
  <si>
    <t>CABO ESSAGER USBC X USBC 2MT 100W BLACK</t>
  </si>
  <si>
    <t>FONE KZ EDX PRO X NO MIC BLACK</t>
  </si>
  <si>
    <t>FONE KZ ZSN PRO 2 GOLD NO MIC</t>
  </si>
  <si>
    <t>FONE LENOVO GM2 PRO BLACK</t>
  </si>
  <si>
    <t>FONE M90 PRO BLACK</t>
  </si>
  <si>
    <t>FONE QKZ AK6 VERDE C/ CASE</t>
  </si>
  <si>
    <t>FONE REALFIT F2 BLACK</t>
  </si>
  <si>
    <t>FONE TWS M10 BLACK</t>
  </si>
  <si>
    <t>FONE X15 CX</t>
  </si>
  <si>
    <t>FONTE CARREGADOR ESSAGER 30W USB C</t>
  </si>
  <si>
    <t>KIT CARREGADOR IPHONE ESSAGER BRANCO</t>
  </si>
  <si>
    <t>KIT CARREGOR 20W IPHONE CX BRANCO</t>
  </si>
  <si>
    <t>KZ EDX PRO NO MIC BLACK</t>
  </si>
  <si>
    <t>PELUCIA STITCH 20CM AZUL</t>
  </si>
  <si>
    <t>PELUCIA STITCH 20CM ROSA</t>
  </si>
  <si>
    <t>RELOGIO POEDAGAR NAUTILUS BLUE</t>
  </si>
  <si>
    <t xml:space="preserve">  ESTOQUE</t>
  </si>
  <si>
    <t>PRODUTO</t>
  </si>
  <si>
    <t>EM ESTOQUE</t>
  </si>
  <si>
    <t>COMPRAS</t>
  </si>
  <si>
    <t>Media C. UNITARIO</t>
  </si>
  <si>
    <t>Valor Venda Sugerido</t>
  </si>
  <si>
    <t>VENDAS</t>
  </si>
  <si>
    <t>FONE OWS GANCHO TOOCKI BLACK</t>
  </si>
  <si>
    <t>RELOGIO POEDAGAR BEZEL PRATA CANELADO BLUE C/ DATA</t>
  </si>
  <si>
    <t>FONE M25 BLACK</t>
  </si>
  <si>
    <t>FONE KZ ZSN PRO X NO MIC BLACK</t>
  </si>
  <si>
    <t>KIT CARREGADOR VOLTME 20W C/ CABO USBC</t>
  </si>
  <si>
    <t>PELUCIA STITCH 22CM PREMIUM</t>
  </si>
  <si>
    <t>CABO ESSAGER 60W C/ LED USBC</t>
  </si>
  <si>
    <t>FONE KZ EDX LITE NO MIC TRANSP GREY</t>
  </si>
  <si>
    <t>FONE MONSTER MQT39 BLACK</t>
  </si>
  <si>
    <t>KIT CARREGADOR ESSAGER USBC</t>
  </si>
  <si>
    <t>PELUCIA STITCH 30CM C/ PATINHO</t>
  </si>
  <si>
    <t>FONE BASEUS E16 EARBUD BLACK</t>
  </si>
  <si>
    <t>CAIXA DE SOM GO 4 PRO BLACK</t>
  </si>
  <si>
    <t>CABO ESSAGER USBC X LIGHTING 2 MTS BLUE</t>
  </si>
  <si>
    <t>FONE KZ ZSN PRO GREY NO MIC</t>
  </si>
  <si>
    <t>CARREGADOR HOCO 20W ULTRA FINO USBC E USBA</t>
  </si>
  <si>
    <t>FONE REALFIT F1 WHITE</t>
  </si>
  <si>
    <t>FONE REALFIT F1 BLACK</t>
  </si>
  <si>
    <t>FONTE CARREGADOR BASEUS 20W BLACK</t>
  </si>
  <si>
    <t>FONE LENOVO XT 53 BLACK</t>
  </si>
  <si>
    <t>KZ EDX PRO MIC BLACK</t>
  </si>
  <si>
    <t>KZ EDX PRO NO MIC CRYSTAL</t>
  </si>
  <si>
    <t>PELUCIA ANGEL 30CM ROSA C/ FLOR</t>
  </si>
  <si>
    <t>PELUCIA STITCH 30CM C/ CORAÇÃO</t>
  </si>
  <si>
    <t>RELOGIO POEDAGAR NAUTILUS GREEN</t>
  </si>
  <si>
    <t>RELOGIO POEDAGAR PRX BLUE C/ DETALHES DOURADO</t>
  </si>
  <si>
    <t>KIT CARREGADOR ESSAGER USBC 20W WHITE</t>
  </si>
  <si>
    <t>FONE KZ ZSN PRO 2 BLUE BLACK NO MIC</t>
  </si>
  <si>
    <t>FONE REALFIT F3 BLACK</t>
  </si>
  <si>
    <t xml:space="preserve">RELOGIO POEDAGAR PRX BLUE </t>
  </si>
  <si>
    <t>FONE KZ ZVX MIC BLACK</t>
  </si>
  <si>
    <t>FONE KZ ZSN PRO 2 BLUE BLACK MIC</t>
  </si>
  <si>
    <t>CABO BASEUS USBC 2MT 100W BLACK CX</t>
  </si>
  <si>
    <t>CABO BASEUS USBC 2MT 100W BLUE CX</t>
  </si>
  <si>
    <t>CABO BASEUS USBC LIGHTNING 2MT 20W DARK BLUE CX</t>
  </si>
  <si>
    <t>CABO PARA FONE KZ S/MIC</t>
  </si>
  <si>
    <t>CARREGADOR ESSAGER 33W USBC USBA BLACK SC</t>
  </si>
  <si>
    <t>FONE GENERICO LENOVO BLACK</t>
  </si>
  <si>
    <t>FONE KZ EDX LITE MIC TRANSP GREY</t>
  </si>
  <si>
    <t>FONE QKZ AK6 PRO BLACK</t>
  </si>
  <si>
    <t>FONE REALFIT F2 PINK</t>
  </si>
  <si>
    <t>MAQUINA ACABAMENTO CABELO DOURADA S/ CX</t>
  </si>
  <si>
    <t>PELUCIA URSINHO 20CM AZUL</t>
  </si>
  <si>
    <t>RELOGIO CURREN BEZEL PRETO ALL BLACK</t>
  </si>
  <si>
    <t>RELOGIO POEDAGAR ALL BLACK</t>
  </si>
  <si>
    <t>RELOGIO POEDAGAR BEZEL DOURADO CANELADO C/ DATA</t>
  </si>
  <si>
    <t>RELOGIO POEDAGAR BLACK DETALHES DOURADOS</t>
  </si>
  <si>
    <t>RELOGIO POEDAGAR BLUE DETALHES DOURADOS</t>
  </si>
  <si>
    <t>RELOGIO POEDAGAR NAUTILUS BLACK</t>
  </si>
  <si>
    <t>RELOGIO POEDAGAR NAUTILUS GREEN PISCINA</t>
  </si>
  <si>
    <t>RELOGIO POEDAGAR OURO ROSE</t>
  </si>
  <si>
    <t>RELOGIO POEDAGAR PRX ALL GOLD</t>
  </si>
  <si>
    <t>RELOGIO RETRO SKMEI PRATA</t>
  </si>
  <si>
    <t>FONTE CARREGADOR ESSAGER 2 IN 1 USB-A USBC 20W BLACK</t>
  </si>
  <si>
    <t>CAIXA DE SOM TG659 AZUL</t>
  </si>
  <si>
    <t>FONE KZ ZVX NO MIC BLACK</t>
  </si>
  <si>
    <t>FONE KZ CASTPOR SILVER NO MIC</t>
  </si>
  <si>
    <t>RELOGIO CURREN ESPORTIVO CRONOGRAFO</t>
  </si>
  <si>
    <t>FONE KZ ZVX SILVER NO MIC</t>
  </si>
  <si>
    <t>RELOGIO CURREN BEZEL PRATA BLUE</t>
  </si>
  <si>
    <t>FONE KZ ZSN PRO GREY MIC</t>
  </si>
  <si>
    <t>MAQUINA CABELO KEMEI KM-1071</t>
  </si>
  <si>
    <t>FONE TWS THINKPLUS LIVEPODS BLACK</t>
  </si>
  <si>
    <t>FONE QKZ AK6 BLUE C/ CASE</t>
  </si>
  <si>
    <t>FONE TWS X15 SACO</t>
  </si>
  <si>
    <t>FONE KZ D-FI BLACK NO MIC</t>
  </si>
  <si>
    <t>MAQUINA ACABAMENTO KEMEI 2299</t>
  </si>
  <si>
    <t>MAQUINA ACABAMENTO KEMEI KM-032</t>
  </si>
  <si>
    <t>FONE TWS T2 C/ CASE</t>
  </si>
  <si>
    <t>FONE TWS X16 PRO CX</t>
  </si>
  <si>
    <t>CAIXA DE SOM MINI GENERICA</t>
  </si>
  <si>
    <t>FONE QKZ AK6 BLACK C/ CASE</t>
  </si>
  <si>
    <t>FONE TWS M28 SC</t>
  </si>
  <si>
    <t>FONE TWS N35 GAMER</t>
  </si>
  <si>
    <t>CAIXA DE SOM MINI C/ LEDS S12</t>
  </si>
  <si>
    <t>RELOGIO CURREN BEZEL PRATA BLACK 8452</t>
  </si>
  <si>
    <t>FONE TWS M90 SC</t>
  </si>
  <si>
    <t>RELOGIO POEDAGAR BLACK SUBMARINER</t>
  </si>
  <si>
    <t xml:space="preserve">  VENDAS</t>
  </si>
  <si>
    <t>DATA</t>
  </si>
  <si>
    <t>QTD</t>
  </si>
  <si>
    <t>VALOR VENDA</t>
  </si>
  <si>
    <t>VALOR TOTAL</t>
  </si>
  <si>
    <t>MEDIA CUSTO UNITARIO</t>
  </si>
  <si>
    <t>LUCRO</t>
  </si>
  <si>
    <t>MAKEUP</t>
  </si>
  <si>
    <t>% DE LUCRO SOBRE CUSTO</t>
  </si>
  <si>
    <t>CLIENTE</t>
  </si>
  <si>
    <t>OBS</t>
  </si>
  <si>
    <t>ZEZINHO</t>
  </si>
  <si>
    <t>NÃO FATURADO</t>
  </si>
  <si>
    <t>PATRICIA</t>
  </si>
  <si>
    <t>A PRAZO</t>
  </si>
  <si>
    <t>FRANCINEI</t>
  </si>
  <si>
    <t>GABRIELE</t>
  </si>
  <si>
    <t>ENTRADA 50% DIA 20/11</t>
  </si>
  <si>
    <t>JEAN CIDADE UNIV.</t>
  </si>
  <si>
    <t>LUIZ 55,00</t>
  </si>
  <si>
    <t xml:space="preserve">  COMPRAS</t>
  </si>
  <si>
    <t>QUANTIDADE</t>
  </si>
  <si>
    <t>CUSTO UNITÁRIO</t>
  </si>
  <si>
    <t>CUSTO TOTAL</t>
  </si>
  <si>
    <t>OBSERVAÇÃO</t>
  </si>
  <si>
    <t>ENVIADO</t>
  </si>
  <si>
    <t>JAPINHACACE@OUTLOOK.COM VALDEVINO [PROCESSANDO]</t>
  </si>
  <si>
    <t>ENTREGUE</t>
  </si>
  <si>
    <t>LEACACER@OUTLOOK.COM KELVIN [PROCESSANDO]</t>
  </si>
  <si>
    <t>cacecavala@outlook.com - KELVIN [PROCESSANDO]</t>
  </si>
  <si>
    <t>APP ALI</t>
  </si>
  <si>
    <t>JAPONESACAC@OUTLOOK.COM</t>
  </si>
  <si>
    <t>KELVINEJAPA@OUTLOOK.CO</t>
  </si>
  <si>
    <t>leiachin@outlook.com</t>
  </si>
  <si>
    <t>harumijapa1@outlook.com</t>
  </si>
  <si>
    <t>CHUVAJAPAS@OUTLOOK.COM</t>
  </si>
  <si>
    <t>PETISTACHATO@OUTLOOK.COM</t>
  </si>
  <si>
    <t>APP ALI E JAPINHALELE</t>
  </si>
  <si>
    <t>mingaucac@outlook.com</t>
  </si>
  <si>
    <t>app ali</t>
  </si>
  <si>
    <t>JAPANEGA25@OUTLOOK.COM</t>
  </si>
  <si>
    <t>JAPINHALELE APP</t>
  </si>
  <si>
    <t>APARECEU</t>
  </si>
  <si>
    <t>SHOPEE</t>
  </si>
  <si>
    <t>LELEIANOTE@OUTLOOK.COM</t>
  </si>
  <si>
    <t>VINOVINOCAC@OUTLOOK.COM</t>
  </si>
  <si>
    <t>LEIABUSAO@OUTLOOK.COM</t>
  </si>
  <si>
    <t>VALDELEIA25@OUTLOOK.COM</t>
  </si>
  <si>
    <t>corujapia@outlook.com</t>
  </si>
  <si>
    <t>leia25cac@outlook.com</t>
  </si>
  <si>
    <t>LETEIACAC@OUTLOOK.COM</t>
  </si>
  <si>
    <t>leianote1 @outlook.com</t>
  </si>
  <si>
    <t>leiapacotao@outlook.com</t>
  </si>
  <si>
    <t>VALDEVINOMT@OUTLOOK.COM</t>
  </si>
  <si>
    <t>APP ALLI</t>
  </si>
  <si>
    <t>nintcac@outlook.com</t>
  </si>
  <si>
    <t>xquinze1@outlook.com</t>
  </si>
  <si>
    <t>mikaja25@outlkook.com</t>
  </si>
  <si>
    <t>anacastelacac@outlook.com</t>
  </si>
  <si>
    <t>quatrocac@outlook.com</t>
  </si>
  <si>
    <t>CHUVACAC25@OUTLOOK.COM</t>
  </si>
  <si>
    <t>maxukado25@outlook.com</t>
  </si>
  <si>
    <t>vinoscac@outlook.com</t>
  </si>
  <si>
    <t>tentativacac@outlook.com</t>
  </si>
  <si>
    <t>gozdentro@outlook.com</t>
  </si>
  <si>
    <t>lelecac25@OUTLOOK.COM</t>
  </si>
  <si>
    <t>leiamilho@outlkook.com</t>
  </si>
  <si>
    <t>zoiojapa@outlook.com</t>
  </si>
  <si>
    <t xml:space="preserve">LUIZ </t>
  </si>
  <si>
    <t>filhaleia8@gmail.com</t>
  </si>
  <si>
    <t>leiacomi@outlook.com</t>
  </si>
  <si>
    <t>POP69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</si>
</sst>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&quot;R$&quot;\ #,##0.00"/>
    <numFmt numFmtId="166" formatCode="&quot;R$&quot;\ #,##0.00;[Red]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4"/>
      <color rgb="FF000000"/>
      <name val="Roboto-Regula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166" fontId="0" fillId="0" borderId="0" xfId="1" applyNumberFormat="1" applyFont="1" applyAlignment="1">
      <alignment horizontal="center" vertical="center" wrapText="1"/>
    </xf>
    <xf numFmtId="166" fontId="0" fillId="0" borderId="0" xfId="0" applyNumberFormat="1"/>
    <xf numFmtId="0" fontId="4" fillId="3" borderId="0" xfId="2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2" borderId="1" xfId="0" applyFill="1" applyBorder="1" applyAlignment="1">
      <alignment shrinkToFit="1"/>
    </xf>
    <xf numFmtId="0" fontId="0" fillId="0" borderId="0" xfId="0" applyAlignment="1">
      <alignment shrinkToFit="1"/>
    </xf>
    <xf numFmtId="0" fontId="5" fillId="0" borderId="0" xfId="3" applyNumberFormat="1" applyFill="1" applyAlignment="1">
      <alignment shrinkToFit="1"/>
    </xf>
    <xf numFmtId="0" fontId="0" fillId="0" borderId="0" xfId="0" applyAlignment="1">
      <alignment horizontal="left" vertical="center" shrinkToFit="1"/>
    </xf>
    <xf numFmtId="0" fontId="5" fillId="0" borderId="0" xfId="4" applyNumberFormat="1" applyAlignment="1">
      <alignment horizontal="left" vertical="center" shrinkToFit="1"/>
    </xf>
    <xf numFmtId="10" fontId="0" fillId="2" borderId="1" xfId="0" applyNumberFormat="1" applyFill="1" applyBorder="1"/>
    <xf numFmtId="10" fontId="0" fillId="0" borderId="0" xfId="0" applyNumberFormat="1"/>
    <xf numFmtId="10" fontId="0" fillId="0" borderId="0" xfId="1" applyNumberFormat="1" applyFon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2" fontId="0" fillId="2" borderId="1" xfId="0" applyNumberFormat="1" applyFill="1" applyBorder="1"/>
    <xf numFmtId="2" fontId="0" fillId="0" borderId="0" xfId="0" applyNumberFormat="1"/>
    <xf numFmtId="165" fontId="0" fillId="2" borderId="1" xfId="0" applyNumberFormat="1" applyFill="1" applyBorder="1"/>
    <xf numFmtId="49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5" fontId="0" fillId="4" borderId="0" xfId="0" applyNumberFormat="1" applyFill="1" applyAlignment="1">
      <alignment horizontal="center" vertical="center" wrapText="1"/>
    </xf>
    <xf numFmtId="2" fontId="0" fillId="4" borderId="0" xfId="0" applyNumberFormat="1" applyFill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0" fontId="5" fillId="0" borderId="0" xfId="3" applyNumberFormat="1" applyAlignment="1">
      <alignment horizontal="left" vertical="center" shrinkToFit="1"/>
    </xf>
    <xf numFmtId="1" fontId="0" fillId="2" borderId="1" xfId="0" applyNumberFormat="1" applyFill="1" applyBorder="1"/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49" fontId="0" fillId="2" borderId="1" xfId="0" applyNumberFormat="1" applyFill="1" applyBorder="1"/>
    <xf numFmtId="49" fontId="0" fillId="0" borderId="0" xfId="0" applyNumberFormat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shrinkToFit="1"/>
    </xf>
    <xf numFmtId="49" fontId="0" fillId="4" borderId="0" xfId="0" applyNumberFormat="1" applyFill="1" applyAlignment="1">
      <alignment horizontal="center" vertical="center" wrapText="1"/>
    </xf>
    <xf numFmtId="1" fontId="0" fillId="4" borderId="0" xfId="0" applyNumberForma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3" applyAlignment="1">
      <alignment horizontal="left" vertical="center" shrinkToFit="1"/>
    </xf>
    <xf numFmtId="14" fontId="0" fillId="0" borderId="0" xfId="0" applyNumberFormat="1"/>
    <xf numFmtId="14" fontId="0" fillId="2" borderId="1" xfId="0" applyNumberFormat="1" applyFill="1" applyBorder="1"/>
    <xf numFmtId="14" fontId="0" fillId="4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Bom" xfId="2" builtinId="26"/>
    <cellStyle name="Hiperlink" xfId="3" builtinId="8"/>
    <cellStyle name="Hyperlink" xfId="4" xr:uid="{00000000-000B-0000-0000-000008000000}"/>
    <cellStyle name="Moeda" xfId="1" builtinId="4"/>
    <cellStyle name="Normal" xfId="0" builtinId="0"/>
  </cellStyles>
  <dxfs count="49">
    <dxf>
      <fill>
        <patternFill patternType="solid">
          <fgColor auto="1"/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auto="1"/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</dxf>
    <dxf>
      <font>
        <b/>
        <i val="0"/>
        <color theme="1"/>
      </font>
      <fill>
        <patternFill>
          <bgColor rgb="FFFFEB9C"/>
        </patternFill>
      </fill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m/d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65" formatCode="&quot;R$&quot;\ #,##0.0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b val="0"/>
        <i val="0"/>
        <name val="Calibri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CC00"/>
      <color rgb="FF40E898"/>
      <color rgb="FFFF4D15"/>
      <color rgb="FFFFEA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Relationship Id="rId4" Type="http://schemas.openxmlformats.org/officeDocument/2006/relationships/hyperlink" Target="#MAI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MPRAS!A1"/><Relationship Id="rId2" Type="http://schemas.openxmlformats.org/officeDocument/2006/relationships/hyperlink" Target="#VENDAS!A1"/><Relationship Id="rId1" Type="http://schemas.openxmlformats.org/officeDocument/2006/relationships/hyperlink" Target="#ESTOQUE!A1"/><Relationship Id="rId4" Type="http://schemas.openxmlformats.org/officeDocument/2006/relationships/hyperlink" Target="#MAI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1968776</xdr:colOff>
      <xdr:row>0</xdr:row>
      <xdr:rowOff>24849</xdr:rowOff>
    </xdr:from>
    <xdr:to>
      <xdr:col>2</xdr:col>
      <xdr:colOff>90279</xdr:colOff>
      <xdr:row>0</xdr:row>
      <xdr:rowOff>348849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694AD1-382D-235A-6693-8949630F9C2F}"/>
            </a:ext>
          </a:extLst>
        </xdr:cNvPr>
        <xdr:cNvSpPr/>
      </xdr:nvSpPr>
      <xdr:spPr>
        <a:xfrm>
          <a:off x="2170043" y="24849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rPr>
            <a:t>ESTOQUE</a:t>
          </a:r>
          <a:r>
            <a:rPr lang="en-US" sz="16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</a:p>
      </xdr:txBody>
    </xdr:sp>
    <xdr:clientData/>
  </xdr:twoCellAnchor>
  <xdr:twoCellAnchor editAs="absolute">
    <xdr:from>
      <xdr:col>2</xdr:col>
      <xdr:colOff>127553</xdr:colOff>
      <xdr:row>0</xdr:row>
      <xdr:rowOff>24849</xdr:rowOff>
    </xdr:from>
    <xdr:to>
      <xdr:col>3</xdr:col>
      <xdr:colOff>442292</xdr:colOff>
      <xdr:row>0</xdr:row>
      <xdr:rowOff>348849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47A7AF-EA85-D9C0-7B59-65CC7D8813FD}"/>
            </a:ext>
          </a:extLst>
        </xdr:cNvPr>
        <xdr:cNvSpPr/>
      </xdr:nvSpPr>
      <xdr:spPr>
        <a:xfrm>
          <a:off x="3590512" y="24849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3</xdr:col>
      <xdr:colOff>479565</xdr:colOff>
      <xdr:row>0</xdr:row>
      <xdr:rowOff>24849</xdr:rowOff>
    </xdr:from>
    <xdr:to>
      <xdr:col>4</xdr:col>
      <xdr:colOff>796788</xdr:colOff>
      <xdr:row>0</xdr:row>
      <xdr:rowOff>348849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425727-7F89-0892-50EF-775300E6EF1B}"/>
            </a:ext>
          </a:extLst>
        </xdr:cNvPr>
        <xdr:cNvSpPr/>
      </xdr:nvSpPr>
      <xdr:spPr>
        <a:xfrm>
          <a:off x="5010980" y="24849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12</xdr:col>
      <xdr:colOff>149087</xdr:colOff>
      <xdr:row>0</xdr:row>
      <xdr:rowOff>33130</xdr:rowOff>
    </xdr:from>
    <xdr:to>
      <xdr:col>13</xdr:col>
      <xdr:colOff>184174</xdr:colOff>
      <xdr:row>0</xdr:row>
      <xdr:rowOff>357130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935CBB6-1A85-1101-AD1F-A520921EBE42}"/>
            </a:ext>
          </a:extLst>
        </xdr:cNvPr>
        <xdr:cNvSpPr/>
      </xdr:nvSpPr>
      <xdr:spPr>
        <a:xfrm>
          <a:off x="10046804" y="33130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05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1229547</xdr:colOff>
      <xdr:row>0</xdr:row>
      <xdr:rowOff>24847</xdr:rowOff>
    </xdr:from>
    <xdr:to>
      <xdr:col>3</xdr:col>
      <xdr:colOff>95022</xdr:colOff>
      <xdr:row>0</xdr:row>
      <xdr:rowOff>348847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3CE1C-450B-4D33-A756-21073E3FAFC0}"/>
            </a:ext>
          </a:extLst>
        </xdr:cNvPr>
        <xdr:cNvSpPr/>
      </xdr:nvSpPr>
      <xdr:spPr>
        <a:xfrm>
          <a:off x="2170037" y="24847"/>
          <a:ext cx="1383195" cy="32400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ESTOQUE</a:t>
          </a:r>
        </a:p>
      </xdr:txBody>
    </xdr:sp>
    <xdr:clientData/>
  </xdr:twoCellAnchor>
  <xdr:twoCellAnchor editAs="absolute">
    <xdr:from>
      <xdr:col>3</xdr:col>
      <xdr:colOff>132296</xdr:colOff>
      <xdr:row>0</xdr:row>
      <xdr:rowOff>24847</xdr:rowOff>
    </xdr:from>
    <xdr:to>
      <xdr:col>5</xdr:col>
      <xdr:colOff>11214</xdr:colOff>
      <xdr:row>0</xdr:row>
      <xdr:rowOff>348847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6B9DED-5A35-4FBC-9AF2-F6917B634DA7}"/>
            </a:ext>
          </a:extLst>
        </xdr:cNvPr>
        <xdr:cNvSpPr/>
      </xdr:nvSpPr>
      <xdr:spPr>
        <a:xfrm>
          <a:off x="3590506" y="24847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75000"/>
                  <a:lumOff val="2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5</xdr:col>
      <xdr:colOff>48487</xdr:colOff>
      <xdr:row>0</xdr:row>
      <xdr:rowOff>24847</xdr:rowOff>
    </xdr:from>
    <xdr:to>
      <xdr:col>6</xdr:col>
      <xdr:colOff>618330</xdr:colOff>
      <xdr:row>0</xdr:row>
      <xdr:rowOff>348847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6E083E-F394-48F3-A0BA-0AB961C49F03}"/>
            </a:ext>
          </a:extLst>
        </xdr:cNvPr>
        <xdr:cNvSpPr/>
      </xdr:nvSpPr>
      <xdr:spPr>
        <a:xfrm>
          <a:off x="5010974" y="24847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12</xdr:col>
      <xdr:colOff>894522</xdr:colOff>
      <xdr:row>0</xdr:row>
      <xdr:rowOff>24847</xdr:rowOff>
    </xdr:from>
    <xdr:to>
      <xdr:col>13</xdr:col>
      <xdr:colOff>250435</xdr:colOff>
      <xdr:row>0</xdr:row>
      <xdr:rowOff>348847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EC4C20-32AB-4D51-B9A2-E6899ADD2F5A}"/>
            </a:ext>
          </a:extLst>
        </xdr:cNvPr>
        <xdr:cNvSpPr/>
      </xdr:nvSpPr>
      <xdr:spPr>
        <a:xfrm>
          <a:off x="9839739" y="24847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>
                  <a:lumMod val="85000"/>
                </a:schemeClr>
              </a:solidFill>
            </a:rPr>
            <a:t>AJUDA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716065</xdr:colOff>
      <xdr:row>0</xdr:row>
      <xdr:rowOff>24846</xdr:rowOff>
    </xdr:from>
    <xdr:to>
      <xdr:col>2</xdr:col>
      <xdr:colOff>2099260</xdr:colOff>
      <xdr:row>0</xdr:row>
      <xdr:rowOff>348846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2F70FC-E48D-4841-92D3-12673929CA64}"/>
            </a:ext>
          </a:extLst>
        </xdr:cNvPr>
        <xdr:cNvSpPr/>
      </xdr:nvSpPr>
      <xdr:spPr>
        <a:xfrm>
          <a:off x="2170040" y="24846"/>
          <a:ext cx="1383195" cy="324000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ESTOQUE</a:t>
          </a:r>
        </a:p>
      </xdr:txBody>
    </xdr:sp>
    <xdr:clientData/>
  </xdr:twoCellAnchor>
  <xdr:twoCellAnchor editAs="absolute">
    <xdr:from>
      <xdr:col>2</xdr:col>
      <xdr:colOff>2136534</xdr:colOff>
      <xdr:row>0</xdr:row>
      <xdr:rowOff>24846</xdr:rowOff>
    </xdr:from>
    <xdr:to>
      <xdr:col>2</xdr:col>
      <xdr:colOff>3614979</xdr:colOff>
      <xdr:row>0</xdr:row>
      <xdr:rowOff>348846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B99913-D1CB-4394-9B58-297B74AEFF59}"/>
            </a:ext>
          </a:extLst>
        </xdr:cNvPr>
        <xdr:cNvSpPr/>
      </xdr:nvSpPr>
      <xdr:spPr>
        <a:xfrm>
          <a:off x="3590509" y="24846"/>
          <a:ext cx="1383195" cy="324000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2">
                  <a:lumMod val="75000"/>
                </a:schemeClr>
              </a:solidFill>
            </a:rPr>
            <a:t>VENDAS</a:t>
          </a:r>
        </a:p>
      </xdr:txBody>
    </xdr:sp>
    <xdr:clientData/>
  </xdr:twoCellAnchor>
  <xdr:twoCellAnchor editAs="absolute">
    <xdr:from>
      <xdr:col>2</xdr:col>
      <xdr:colOff>3652252</xdr:colOff>
      <xdr:row>0</xdr:row>
      <xdr:rowOff>24846</xdr:rowOff>
    </xdr:from>
    <xdr:to>
      <xdr:col>3</xdr:col>
      <xdr:colOff>452906</xdr:colOff>
      <xdr:row>0</xdr:row>
      <xdr:rowOff>348846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B9B9BD-2DCE-4CB0-ADD4-12D9CB9D972C}"/>
            </a:ext>
          </a:extLst>
        </xdr:cNvPr>
        <xdr:cNvSpPr/>
      </xdr:nvSpPr>
      <xdr:spPr>
        <a:xfrm>
          <a:off x="5010977" y="24846"/>
          <a:ext cx="1383195" cy="3240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75000"/>
                  <a:lumOff val="25000"/>
                </a:schemeClr>
              </a:solidFill>
            </a:rPr>
            <a:t>COMPRAS</a:t>
          </a:r>
        </a:p>
      </xdr:txBody>
    </xdr:sp>
    <xdr:clientData/>
  </xdr:twoCellAnchor>
  <xdr:twoCellAnchor>
    <xdr:from>
      <xdr:col>8</xdr:col>
      <xdr:colOff>869675</xdr:colOff>
      <xdr:row>0</xdr:row>
      <xdr:rowOff>24848</xdr:rowOff>
    </xdr:from>
    <xdr:to>
      <xdr:col>9</xdr:col>
      <xdr:colOff>573457</xdr:colOff>
      <xdr:row>0</xdr:row>
      <xdr:rowOff>348848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862CBC-028A-4BA8-AF63-10BA89DE031E}"/>
            </a:ext>
          </a:extLst>
        </xdr:cNvPr>
        <xdr:cNvSpPr/>
      </xdr:nvSpPr>
      <xdr:spPr>
        <a:xfrm>
          <a:off x="9814892" y="24848"/>
          <a:ext cx="648000" cy="324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>
              <a:solidFill>
                <a:schemeClr val="bg1">
                  <a:lumMod val="85000"/>
                </a:schemeClr>
              </a:solidFill>
            </a:rPr>
            <a:t>AJUDA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49B65FF5-9A9E-477C-8C09-D0C21D04FF5A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5BCE8-A596-4FD9-A3AF-419E17BC54E8}" name="Tabela1" displayName="Tabela1" ref="B3:G98" totalsRowShown="0" headerRowDxfId="48" dataDxfId="47">
  <autoFilter ref="B3:G98" xr:uid="{E7E5BCE8-A596-4FD9-A3AF-419E17BC54E8}"/>
  <sortState xmlns:xlrd2="http://schemas.microsoft.com/office/spreadsheetml/2017/richdata2" ref="B4:G95">
    <sortCondition descending="1" ref="G3:G95"/>
  </sortState>
  <tableColumns count="6">
    <tableColumn id="1" xr3:uid="{02C619DA-E824-4D93-8DFA-911AB9836023}" name="PRODUTO" dataDxfId="46"/>
    <tableColumn id="3" xr3:uid="{9B65CD08-808B-4B41-A73D-2C4F21C402A3}" name="EM ESTOQUE" dataDxfId="45">
      <calculatedColumnFormula>D4-G4</calculatedColumnFormula>
    </tableColumn>
    <tableColumn id="4" xr3:uid="{93BB79D4-2FFA-468D-A07B-7446EEDA1511}" name="COMPRAS" dataDxfId="44">
      <calculatedColumnFormula>SUMIFS(Tabela3[QUANTIDADE], Tabela3[PRODUTO], Tabela1[[#This Row],[PRODUTO]], Tabela3[STATUS], TRIM(UPPER("ENTREGUE")))</calculatedColumnFormula>
    </tableColumn>
    <tableColumn id="6" xr3:uid="{621B0A74-7A73-48FE-A3C4-ECD3C6E022F2}" name="Media C. UNITARIO" dataDxfId="43">
      <calculatedColumnFormula>AVERAGEIFS(
  Tabela3[CUSTO UNITÁRIO],
  Tabela3[PRODUTO], Tabela1[[#This Row],[PRODUTO]],
  Tabela3[STATUS], "ENTREGUE"
)</calculatedColumnFormula>
    </tableColumn>
    <tableColumn id="8" xr3:uid="{F380D1A3-3257-4B72-9501-223BCEBE54F4}" name="Valor Venda Sugerido" dataDxfId="42">
      <calculatedColumnFormula>IFERROR(
  AVERAGEIFS(
    Tabela3[CUSTO UNITÁRIO],
    Tabela3[PRODUTO], Tabela1[[#This Row],[PRODUTO]],
    Tabela3[STATUS], "ENTREGUE",
    Tabela3[DATA], "&gt;="&amp;TODAY()-30
  ) * 2.5,
"")</calculatedColumnFormula>
    </tableColumn>
    <tableColumn id="5" xr3:uid="{D4B2D251-7B59-4F7A-BDB8-DEA80084ACEE}" name="VENDAS" dataDxfId="41">
      <calculatedColumnFormula>SUMIF(Tabela2[PRODUTO],Tabela1[[#This Row],[PRODUTO]],Tabela2[QTD])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DD06E1-6209-46D4-A159-52553335D016}" name="Tabela2" displayName="Tabela2" ref="B3:M37" totalsRowShown="0" headerRowDxfId="40" dataDxfId="39">
  <autoFilter ref="B3:M37" xr:uid="{D1DD06E1-6209-46D4-A159-52553335D016}">
    <filterColumn colId="0">
      <filters>
        <dateGroupItem year="2025" month="11" dateTimeGrouping="month"/>
      </filters>
    </filterColumn>
  </autoFilter>
  <sortState xmlns:xlrd2="http://schemas.microsoft.com/office/spreadsheetml/2017/richdata2" ref="B4:M4">
    <sortCondition descending="1" ref="B3:B4"/>
  </sortState>
  <tableColumns count="12">
    <tableColumn id="1" xr3:uid="{DA3FF599-F11E-4586-B680-D453E1D4FCD1}" name="DATA" dataDxfId="38" totalsRowDxfId="37"/>
    <tableColumn id="2" xr3:uid="{20CC6B1D-2920-4F7D-B552-A240E3ADE8EE}" name="PRODUTO" dataDxfId="36" totalsRowDxfId="35"/>
    <tableColumn id="4" xr3:uid="{CC5F18D1-4359-45AF-9081-9C564A5BC310}" name="QTD" dataDxfId="34" totalsRowDxfId="33"/>
    <tableColumn id="5" xr3:uid="{8DE698C1-57D2-45F3-99BC-6973555F8C3F}" name="VALOR VENDA" dataDxfId="32" totalsRowDxfId="31" dataCellStyle="Moeda"/>
    <tableColumn id="6" xr3:uid="{4F9E3CB1-ACFA-4019-8176-9A9D4AB6B7C4}" name="VALOR TOTAL" dataDxfId="30" totalsRowDxfId="29" dataCellStyle="Moeda">
      <calculatedColumnFormula>Tabela2[[#This Row],[VALOR VENDA]]*Tabela2[[#This Row],[QTD]]</calculatedColumnFormula>
    </tableColumn>
    <tableColumn id="10" xr3:uid="{1572E248-3775-4840-99F5-2DBF5A44F30D}" name="MEDIA CUSTO UNITARIO" dataDxfId="28" dataCellStyle="Moeda">
      <calculatedColumnFormula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calculatedColumnFormula>
    </tableColumn>
    <tableColumn id="3" xr3:uid="{0078A0DA-AD4C-431A-9082-66EC8619239E}" name="LUCRO" dataDxfId="27" dataCellStyle="Moeda">
      <calculatedColumnFormula>Tabela2[[#This Row],[VALOR VENDA]]*Tabela2[[#This Row],[QTD]]-Tabela2[[#This Row],[MEDIA CUSTO UNITARIO]]*Tabela2[[#This Row],[QTD]]</calculatedColumnFormula>
    </tableColumn>
    <tableColumn id="9" xr3:uid="{E3473684-D134-4C4B-A41B-D2B3C82213BD}" name="MAKEUP" dataDxfId="26" dataCellStyle="Moeda">
      <calculatedColumnFormula>IF(G4&gt;0,TEXT(E4/G4,"0,00") &amp; " " &amp; IF(E4/G4&gt;2,"↑","↓"),0)</calculatedColumnFormula>
    </tableColumn>
    <tableColumn id="11" xr3:uid="{7C8950A8-45D6-4C67-ABFD-4C5C4AE134C4}" name="% DE LUCRO SOBRE CUSTO" dataDxfId="25" dataCellStyle="Moeda">
      <calculatedColumnFormula>IF(G4&gt;0,TEXT((E4-G4)/G4,"0%") &amp; " " &amp; IF((E4-G4)/G4&gt;1,"✅","❌"),0)</calculatedColumnFormula>
    </tableColumn>
    <tableColumn id="14" xr3:uid="{15445F35-038D-4B45-A69A-A1C3CEE47446}" name="STATUS" dataDxfId="24" dataCellStyle="Moeda"/>
    <tableColumn id="7" xr3:uid="{4A31E119-D7D1-45C4-82AE-710D3D383F5F}" name="CLIENTE" dataDxfId="23">
      <calculatedColumnFormula>AVERAGEIFS(Tabela3[CUSTO UNITÁRIO], Tabela3[PRODUTO],Tabela2[[#This Row],[PRODUTO]], Tabela3[STATUS],"ENTREGUE")</calculatedColumnFormula>
    </tableColumn>
    <tableColumn id="8" xr3:uid="{CC3E0136-E125-40F9-8B81-26704F24A395}" name="OBS" dataDxfId="22" totalsRowDxfId="21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DADC73-3104-488E-8B2A-5F1AB5A5B7E2}" name="Tabela3" displayName="Tabela3" ref="B3:H150" totalsRowShown="0" headerRowDxfId="20" dataDxfId="19">
  <autoFilter ref="B3:H150" xr:uid="{D9DADC73-3104-488E-8B2A-5F1AB5A5B7E2}">
    <filterColumn colId="0">
      <filters>
        <dateGroupItem year="2025" month="11" dateTimeGrouping="month"/>
      </filters>
    </filterColumn>
  </autoFilter>
  <sortState xmlns:xlrd2="http://schemas.microsoft.com/office/spreadsheetml/2017/richdata2" ref="B4:H63">
    <sortCondition descending="1" ref="D3:D63"/>
  </sortState>
  <tableColumns count="7">
    <tableColumn id="1" xr3:uid="{4CB8C61B-FF30-4731-8DBE-9BA1B5DDB5DC}" name="DATA" dataDxfId="18" totalsRowDxfId="17"/>
    <tableColumn id="2" xr3:uid="{49796BD0-21F6-462C-B6DF-A7CD06D61C88}" name="PRODUTO" dataDxfId="16" totalsRowDxfId="15"/>
    <tableColumn id="3" xr3:uid="{9469C020-CE6F-469B-98C7-D5AD9AB56CF6}" name="STATUS" dataDxfId="14" totalsRowDxfId="13"/>
    <tableColumn id="4" xr3:uid="{B7AFB4D3-DBCE-4020-BFA1-0EC8FE8EBB15}" name="QUANTIDADE" dataDxfId="12" totalsRowDxfId="11"/>
    <tableColumn id="5" xr3:uid="{B2508859-B142-4648-9508-8591C5B54822}" name="CUSTO UNITÁRIO" dataDxfId="10" totalsRowDxfId="9" dataCellStyle="Moeda" totalsRowCellStyle="Moeda"/>
    <tableColumn id="6" xr3:uid="{3E79F4C5-EC1B-45D5-BCB8-A81834A682A2}" name="CUSTO TOTAL" dataDxfId="8" totalsRowDxfId="7" dataCellStyle="Moeda" totalsRowCellStyle="Moeda">
      <calculatedColumnFormula>Tabela3[[#This Row],[CUSTO UNITÁRIO]]*Tabela3[[#This Row],[QUANTIDADE]]</calculatedColumnFormula>
    </tableColumn>
    <tableColumn id="7" xr3:uid="{4393C234-138B-4A61-9885-9C211BA3C832}" name="OBSERVAÇÃO" dataDxfId="6" totalsRowDxfId="5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7" dT="2025-10-28T20:40:22.96" personId="{49B65FF5-9A9E-477C-8C09-D0C21D04FF5A}" id="{6C10F0AB-1700-47E2-9183-B4633FB141BA}">
    <text>META 2K - NOVEMBRO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LELEIANOTE@OUTLOOK.COM" TargetMode="External"/><Relationship Id="rId21" Type="http://schemas.openxmlformats.org/officeDocument/2006/relationships/hyperlink" Target="mailto:mingaucac@outlook.com" TargetMode="External"/><Relationship Id="rId42" Type="http://schemas.openxmlformats.org/officeDocument/2006/relationships/hyperlink" Target="mailto:leiapacotao@outlook.com" TargetMode="External"/><Relationship Id="rId47" Type="http://schemas.openxmlformats.org/officeDocument/2006/relationships/hyperlink" Target="mailto:mikaja25@outlkook.com" TargetMode="External"/><Relationship Id="rId63" Type="http://schemas.openxmlformats.org/officeDocument/2006/relationships/hyperlink" Target="mailto:tentativacac@outlook.com" TargetMode="External"/><Relationship Id="rId68" Type="http://schemas.openxmlformats.org/officeDocument/2006/relationships/hyperlink" Target="mailto:zoiojapa@outlook.com" TargetMode="External"/><Relationship Id="rId2" Type="http://schemas.openxmlformats.org/officeDocument/2006/relationships/hyperlink" Target="mailto:JAPINHACACE@OUTLOOK.COM%20VALDEVINO%20[PROCESSANDO]" TargetMode="External"/><Relationship Id="rId16" Type="http://schemas.openxmlformats.org/officeDocument/2006/relationships/hyperlink" Target="mailto:CHUVAJAPAS@OUTLOOK.COM" TargetMode="External"/><Relationship Id="rId29" Type="http://schemas.openxmlformats.org/officeDocument/2006/relationships/hyperlink" Target="mailto:VINOVINOCAC@OUTLOOK.COM" TargetMode="External"/><Relationship Id="rId11" Type="http://schemas.openxmlformats.org/officeDocument/2006/relationships/hyperlink" Target="mailto:KELVINEJAPA@OUTLOOK.CO" TargetMode="External"/><Relationship Id="rId24" Type="http://schemas.openxmlformats.org/officeDocument/2006/relationships/hyperlink" Target="mailto:JAPANEGA25@OUTLOOK.COM" TargetMode="External"/><Relationship Id="rId32" Type="http://schemas.openxmlformats.org/officeDocument/2006/relationships/hyperlink" Target="mailto:LEIABUSAO@OUTLOOK.COM" TargetMode="External"/><Relationship Id="rId37" Type="http://schemas.openxmlformats.org/officeDocument/2006/relationships/hyperlink" Target="mailto:leia25cac@outlook.com" TargetMode="External"/><Relationship Id="rId40" Type="http://schemas.openxmlformats.org/officeDocument/2006/relationships/hyperlink" Target="mailto:LETEIACAC@OUTLOOK.COM" TargetMode="External"/><Relationship Id="rId45" Type="http://schemas.openxmlformats.org/officeDocument/2006/relationships/hyperlink" Target="mailto:nintcac@outlook.com" TargetMode="External"/><Relationship Id="rId53" Type="http://schemas.openxmlformats.org/officeDocument/2006/relationships/hyperlink" Target="mailto:quatrocac@outlook.com" TargetMode="External"/><Relationship Id="rId58" Type="http://schemas.openxmlformats.org/officeDocument/2006/relationships/hyperlink" Target="mailto:maxukado25@outlook.com" TargetMode="External"/><Relationship Id="rId66" Type="http://schemas.openxmlformats.org/officeDocument/2006/relationships/hyperlink" Target="mailto:leiamilho@outlkook.com" TargetMode="External"/><Relationship Id="rId5" Type="http://schemas.openxmlformats.org/officeDocument/2006/relationships/hyperlink" Target="mailto:cacecavala@outlook.com%20-%20KELVINb%20[PROCESSANDO" TargetMode="External"/><Relationship Id="rId61" Type="http://schemas.openxmlformats.org/officeDocument/2006/relationships/hyperlink" Target="mailto:vinoscac@outlook.com" TargetMode="External"/><Relationship Id="rId19" Type="http://schemas.openxmlformats.org/officeDocument/2006/relationships/hyperlink" Target="mailto:PETISTACHATO@OUTLOOK.COM" TargetMode="External"/><Relationship Id="rId14" Type="http://schemas.openxmlformats.org/officeDocument/2006/relationships/hyperlink" Target="mailto:harumijapa1@outlook.com" TargetMode="External"/><Relationship Id="rId22" Type="http://schemas.openxmlformats.org/officeDocument/2006/relationships/hyperlink" Target="mailto:mingaucac@outlook.com" TargetMode="External"/><Relationship Id="rId27" Type="http://schemas.openxmlformats.org/officeDocument/2006/relationships/hyperlink" Target="mailto:LEACACER@OUTLOOK.COM%20KELVIN%20[PROCESSANDO]" TargetMode="External"/><Relationship Id="rId30" Type="http://schemas.openxmlformats.org/officeDocument/2006/relationships/hyperlink" Target="mailto:VINOVINOCAC@OUTLOOK.COM" TargetMode="External"/><Relationship Id="rId35" Type="http://schemas.openxmlformats.org/officeDocument/2006/relationships/hyperlink" Target="mailto:VALDELEIA25@OUTLOOK.COM" TargetMode="External"/><Relationship Id="rId43" Type="http://schemas.openxmlformats.org/officeDocument/2006/relationships/hyperlink" Target="mailto:VALDEVINOMT@OUTLOOK.COM" TargetMode="External"/><Relationship Id="rId48" Type="http://schemas.openxmlformats.org/officeDocument/2006/relationships/hyperlink" Target="mailto:mikaja25@outlkook.com" TargetMode="External"/><Relationship Id="rId56" Type="http://schemas.openxmlformats.org/officeDocument/2006/relationships/hyperlink" Target="mailto:CHUVACAC25@OUTLOOK.COM" TargetMode="External"/><Relationship Id="rId64" Type="http://schemas.openxmlformats.org/officeDocument/2006/relationships/hyperlink" Target="mailto:gozdentro@outlook.com" TargetMode="External"/><Relationship Id="rId69" Type="http://schemas.openxmlformats.org/officeDocument/2006/relationships/hyperlink" Target="mailto:filhaleia8@gmail.com" TargetMode="External"/><Relationship Id="rId8" Type="http://schemas.openxmlformats.org/officeDocument/2006/relationships/hyperlink" Target="mailto:JAPONESACAC@OUTLOOK.COM" TargetMode="External"/><Relationship Id="rId51" Type="http://schemas.openxmlformats.org/officeDocument/2006/relationships/hyperlink" Target="mailto:anacastelacac@outlook.com" TargetMode="External"/><Relationship Id="rId72" Type="http://schemas.openxmlformats.org/officeDocument/2006/relationships/drawing" Target="../drawings/drawing3.xml"/><Relationship Id="rId3" Type="http://schemas.openxmlformats.org/officeDocument/2006/relationships/hyperlink" Target="mailto:cacecavala@outlook.com%20-%20KELVIN%20[PROCESSANDO" TargetMode="External"/><Relationship Id="rId12" Type="http://schemas.openxmlformats.org/officeDocument/2006/relationships/hyperlink" Target="mailto:leiachin@outlook.com" TargetMode="External"/><Relationship Id="rId17" Type="http://schemas.openxmlformats.org/officeDocument/2006/relationships/hyperlink" Target="mailto:CHUVAJAPAS@OUTLOOK.COM" TargetMode="External"/><Relationship Id="rId25" Type="http://schemas.openxmlformats.org/officeDocument/2006/relationships/hyperlink" Target="mailto:JAPANEGA25@OUTLOOK.COM" TargetMode="External"/><Relationship Id="rId33" Type="http://schemas.openxmlformats.org/officeDocument/2006/relationships/hyperlink" Target="mailto:LEIABUSAO@OUTLOOK.COM" TargetMode="External"/><Relationship Id="rId38" Type="http://schemas.openxmlformats.org/officeDocument/2006/relationships/hyperlink" Target="mailto:leia25cac@outlook.com" TargetMode="External"/><Relationship Id="rId46" Type="http://schemas.openxmlformats.org/officeDocument/2006/relationships/hyperlink" Target="mailto:xquinze1@outlook.com" TargetMode="External"/><Relationship Id="rId59" Type="http://schemas.openxmlformats.org/officeDocument/2006/relationships/hyperlink" Target="mailto:maxukado25@outlook.com" TargetMode="External"/><Relationship Id="rId67" Type="http://schemas.openxmlformats.org/officeDocument/2006/relationships/hyperlink" Target="mailto:leiamilho@outlkook.com" TargetMode="External"/><Relationship Id="rId20" Type="http://schemas.openxmlformats.org/officeDocument/2006/relationships/hyperlink" Target="mailto:PETISTACHATO@OUTLOOK.COM" TargetMode="External"/><Relationship Id="rId41" Type="http://schemas.openxmlformats.org/officeDocument/2006/relationships/hyperlink" Target="mailto:LETEIACAC@OUTLOOK.COM" TargetMode="External"/><Relationship Id="rId54" Type="http://schemas.openxmlformats.org/officeDocument/2006/relationships/hyperlink" Target="mailto:quatrocac@outlook.com" TargetMode="External"/><Relationship Id="rId62" Type="http://schemas.openxmlformats.org/officeDocument/2006/relationships/hyperlink" Target="mailto:tentativacac@outlook.com" TargetMode="External"/><Relationship Id="rId70" Type="http://schemas.openxmlformats.org/officeDocument/2006/relationships/hyperlink" Target="mailto:leiacomi@outlook.com" TargetMode="External"/><Relationship Id="rId1" Type="http://schemas.openxmlformats.org/officeDocument/2006/relationships/hyperlink" Target="mailto:LEACACER@OUTLOOK.COM%20KELVIN%20[PROCESSANDO]" TargetMode="External"/><Relationship Id="rId6" Type="http://schemas.openxmlformats.org/officeDocument/2006/relationships/hyperlink" Target="mailto:cacecavala@outlook.com%20-%20KELVIN%20[PROCESSANDO" TargetMode="External"/><Relationship Id="rId15" Type="http://schemas.openxmlformats.org/officeDocument/2006/relationships/hyperlink" Target="mailto:CHUVAJAPAS@OUTLOOK.COM" TargetMode="External"/><Relationship Id="rId23" Type="http://schemas.openxmlformats.org/officeDocument/2006/relationships/hyperlink" Target="mailto:JAPANEGA25@OUTLOOK.COM" TargetMode="External"/><Relationship Id="rId28" Type="http://schemas.openxmlformats.org/officeDocument/2006/relationships/hyperlink" Target="mailto:VINOVINOCAC@OUTLOOK.COM" TargetMode="External"/><Relationship Id="rId36" Type="http://schemas.openxmlformats.org/officeDocument/2006/relationships/hyperlink" Target="mailto:corujapia@outlook.com" TargetMode="External"/><Relationship Id="rId49" Type="http://schemas.openxmlformats.org/officeDocument/2006/relationships/hyperlink" Target="mailto:mikaja25@outlkook.com" TargetMode="External"/><Relationship Id="rId57" Type="http://schemas.openxmlformats.org/officeDocument/2006/relationships/hyperlink" Target="mailto:CHUVACAC25@OUTLOOK.COM" TargetMode="External"/><Relationship Id="rId10" Type="http://schemas.openxmlformats.org/officeDocument/2006/relationships/hyperlink" Target="mailto:JAPONESACAC@OUTLOOK.COM" TargetMode="External"/><Relationship Id="rId31" Type="http://schemas.openxmlformats.org/officeDocument/2006/relationships/hyperlink" Target="mailto:LEIABUSAO@OUTLOOK.COM" TargetMode="External"/><Relationship Id="rId44" Type="http://schemas.openxmlformats.org/officeDocument/2006/relationships/hyperlink" Target="mailto:VALDEVINOMT@OUTLOOK.COM" TargetMode="External"/><Relationship Id="rId52" Type="http://schemas.openxmlformats.org/officeDocument/2006/relationships/hyperlink" Target="mailto:anacastelacac@outlook.com" TargetMode="External"/><Relationship Id="rId60" Type="http://schemas.openxmlformats.org/officeDocument/2006/relationships/hyperlink" Target="mailto:vinoscac@outlook.com" TargetMode="External"/><Relationship Id="rId65" Type="http://schemas.openxmlformats.org/officeDocument/2006/relationships/hyperlink" Target="mailto:lelecac25@OUTLOOK.COM" TargetMode="External"/><Relationship Id="rId73" Type="http://schemas.openxmlformats.org/officeDocument/2006/relationships/table" Target="../tables/table3.xml"/><Relationship Id="rId4" Type="http://schemas.openxmlformats.org/officeDocument/2006/relationships/hyperlink" Target="mailto:cacecavala@outlook.com%20-%20KELVIN" TargetMode="External"/><Relationship Id="rId9" Type="http://schemas.openxmlformats.org/officeDocument/2006/relationships/hyperlink" Target="mailto:JAPONESACAC@OUTLOOK.COM" TargetMode="External"/><Relationship Id="rId13" Type="http://schemas.openxmlformats.org/officeDocument/2006/relationships/hyperlink" Target="mailto:leiachin@outlook.com" TargetMode="External"/><Relationship Id="rId18" Type="http://schemas.openxmlformats.org/officeDocument/2006/relationships/hyperlink" Target="mailto:PETISTACHATO@OUTLOOK.COM" TargetMode="External"/><Relationship Id="rId39" Type="http://schemas.openxmlformats.org/officeDocument/2006/relationships/hyperlink" Target="mailto:leia25cac@outlook.com" TargetMode="External"/><Relationship Id="rId34" Type="http://schemas.openxmlformats.org/officeDocument/2006/relationships/hyperlink" Target="mailto:VALDELEIA25@OUTLOOK.COM" TargetMode="External"/><Relationship Id="rId50" Type="http://schemas.openxmlformats.org/officeDocument/2006/relationships/hyperlink" Target="mailto:anacastelacac@outlook.com" TargetMode="External"/><Relationship Id="rId55" Type="http://schemas.openxmlformats.org/officeDocument/2006/relationships/hyperlink" Target="mailto:quatrocac@outlook.com" TargetMode="External"/><Relationship Id="rId7" Type="http://schemas.openxmlformats.org/officeDocument/2006/relationships/hyperlink" Target="mailto:cacecavala@outlook.com%20-%20KELVIN%20[PROCESSANDO" TargetMode="External"/><Relationship Id="rId71" Type="http://schemas.openxmlformats.org/officeDocument/2006/relationships/hyperlink" Target="mailto:leiacom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4374-3FFB-4D47-8885-099702CD5895}">
  <sheetPr codeName="Planilha1"/>
  <dimension ref="A1:N1000"/>
  <sheetViews>
    <sheetView showGridLines="0" tabSelected="1" zoomScale="90" zoomScaleNormal="90" workbookViewId="0">
      <pane ySplit="3" topLeftCell="A4" activePane="bottomLeft" state="frozen"/>
      <selection pane="bottomLeft" activeCell="B3" sqref="B3"/>
    </sheetView>
  </sheetViews>
  <sheetFormatPr defaultRowHeight="15" customHeight="1" zeroHeight="1"/>
  <cols>
    <col min="1" max="1" width="3" customWidth="1"/>
    <col min="2" max="2" width="48.88671875" style="44" customWidth="1"/>
    <col min="3" max="3" width="16" style="37" customWidth="1"/>
    <col min="4" max="4" width="16" style="34" customWidth="1"/>
    <col min="5" max="6" width="14.6640625" style="14" customWidth="1"/>
    <col min="7" max="7" width="15.6640625" style="34" customWidth="1"/>
  </cols>
  <sheetData>
    <row r="1" spans="1:14" s="1" customFormat="1" ht="30" customHeight="1">
      <c r="A1" s="8" t="s">
        <v>19</v>
      </c>
      <c r="B1" s="43"/>
      <c r="C1" s="36"/>
      <c r="D1" s="33"/>
      <c r="E1" s="26"/>
      <c r="F1" s="26"/>
      <c r="G1" s="33"/>
    </row>
    <row r="2" spans="1:14" ht="14.4"/>
    <row r="3" spans="1:14" ht="30" customHeight="1">
      <c r="B3" s="42" t="s">
        <v>20</v>
      </c>
      <c r="C3" s="40" t="s">
        <v>21</v>
      </c>
      <c r="D3" s="41" t="s">
        <v>22</v>
      </c>
      <c r="E3" s="29" t="s">
        <v>23</v>
      </c>
      <c r="F3" s="29" t="s">
        <v>24</v>
      </c>
      <c r="G3" s="41" t="s">
        <v>25</v>
      </c>
      <c r="I3" s="57"/>
      <c r="J3" s="57"/>
      <c r="K3" s="57"/>
      <c r="L3" s="57"/>
      <c r="M3" s="57"/>
    </row>
    <row r="4" spans="1:14" ht="30" customHeight="1">
      <c r="B4" s="52" t="s">
        <v>6</v>
      </c>
      <c r="C4" s="27">
        <f t="shared" ref="C4:C35" si="0">D4-G4</f>
        <v>9</v>
      </c>
      <c r="D4" s="35">
        <f>SUMIFS(Tabela3[QUANTIDADE], Tabela3[PRODUTO], Tabela1[[#This Row],[PRODUTO]], Tabela3[STATUS], TRIM(UPPER("ENTREGUE")))</f>
        <v>13</v>
      </c>
      <c r="E4" s="53">
        <f>AVERAGEIFS(
  Tabela3[CUSTO UNITÁRIO],
  Tabela3[PRODUTO], Tabela1[[#This Row],[PRODUTO]],
  Tabela3[STATUS], "ENTREGUE"
)</f>
        <v>24.5075</v>
      </c>
      <c r="F4" s="53">
        <f ca="1">IFERROR(
  AVERAGEIFS(
    Tabela3[CUSTO UNITÁRIO],
    Tabela3[PRODUTO], Tabela1[[#This Row],[PRODUTO]],
    Tabela3[STATUS], "ENTREGUE",
    Tabela3[DATA], "&gt;="&amp;TODAY()-30
  ) * 2.5,
"")</f>
        <v>61.268749999999997</v>
      </c>
      <c r="G4" s="35">
        <f>SUMIF(Tabela2[PRODUTO],Tabela1[[#This Row],[PRODUTO]],Tabela2[QTD])</f>
        <v>4</v>
      </c>
    </row>
    <row r="5" spans="1:14" ht="30" customHeight="1">
      <c r="B5" s="45" t="s">
        <v>14</v>
      </c>
      <c r="C5" s="27">
        <f t="shared" si="0"/>
        <v>12</v>
      </c>
      <c r="D5" s="35">
        <f>SUMIFS(Tabela3[QUANTIDADE], Tabela3[PRODUTO], Tabela1[[#This Row],[PRODUTO]], Tabela3[STATUS], TRIM(UPPER("ENTREGUE")))</f>
        <v>16</v>
      </c>
      <c r="E5" s="53">
        <f>AVERAGEIFS(
  Tabela3[CUSTO UNITÁRIO],
  Tabela3[PRODUTO], Tabela1[[#This Row],[PRODUTO]],
  Tabela3[STATUS], "ENTREGUE"
)</f>
        <v>13.83</v>
      </c>
      <c r="F5" s="53">
        <f ca="1">IFERROR(
  AVERAGEIFS(
    Tabela3[CUSTO UNITÁRIO],
    Tabela3[PRODUTO], Tabela1[[#This Row],[PRODUTO]],
    Tabela3[STATUS], "ENTREGUE",
    Tabela3[DATA], "&gt;="&amp;TODAY()-30
  ) * 2.5,
"")</f>
        <v>34.575000000000003</v>
      </c>
      <c r="G5" s="35">
        <f>SUMIF(Tabela2[PRODUTO],Tabela1[[#This Row],[PRODUTO]],Tabela2[QTD])</f>
        <v>4</v>
      </c>
    </row>
    <row r="6" spans="1:14" ht="30" customHeight="1">
      <c r="B6" s="45" t="s">
        <v>11</v>
      </c>
      <c r="C6" s="27">
        <f t="shared" si="0"/>
        <v>10</v>
      </c>
      <c r="D6" s="35">
        <f>SUMIFS(Tabela3[QUANTIDADE], Tabela3[PRODUTO], Tabela1[[#This Row],[PRODUTO]], Tabela3[STATUS], TRIM(UPPER("ENTREGUE")))</f>
        <v>12</v>
      </c>
      <c r="E6" s="53">
        <f>AVERAGEIFS(
  Tabela3[CUSTO UNITÁRIO],
  Tabela3[PRODUTO], Tabela1[[#This Row],[PRODUTO]],
  Tabela3[STATUS], "ENTREGUE"
)</f>
        <v>14.045999999999998</v>
      </c>
      <c r="F6" s="53">
        <f ca="1">IFERROR(
  AVERAGEIFS(
    Tabela3[CUSTO UNITÁRIO],
    Tabela3[PRODUTO], Tabela1[[#This Row],[PRODUTO]],
    Tabela3[STATUS], "ENTREGUE",
    Tabela3[DATA], "&gt;="&amp;TODAY()-30
  ) * 2.5,
"")</f>
        <v>35.114999999999995</v>
      </c>
      <c r="G6" s="35">
        <f>SUMIF(Tabela2[PRODUTO],Tabela1[[#This Row],[PRODUTO]],Tabela2[QTD])</f>
        <v>2</v>
      </c>
    </row>
    <row r="7" spans="1:14" ht="30" customHeight="1">
      <c r="B7" s="45" t="s">
        <v>4</v>
      </c>
      <c r="C7" s="27">
        <f t="shared" si="0"/>
        <v>3</v>
      </c>
      <c r="D7" s="35">
        <f>SUMIFS(Tabela3[QUANTIDADE], Tabela3[PRODUTO], Tabela1[[#This Row],[PRODUTO]], Tabela3[STATUS], TRIM(UPPER("ENTREGUE")))</f>
        <v>5</v>
      </c>
      <c r="E7" s="53">
        <f>AVERAGEIFS(
  Tabela3[CUSTO UNITÁRIO],
  Tabela3[PRODUTO], Tabela1[[#This Row],[PRODUTO]],
  Tabela3[STATUS], "ENTREGUE"
)</f>
        <v>15.085000000000001</v>
      </c>
      <c r="F7" s="53">
        <f ca="1">IFERROR(
  AVERAGEIFS(
    Tabela3[CUSTO UNITÁRIO],
    Tabela3[PRODUTO], Tabela1[[#This Row],[PRODUTO]],
    Tabela3[STATUS], "ENTREGUE",
    Tabela3[DATA], "&gt;="&amp;TODAY()-30
  ) * 2.5,
"")</f>
        <v>37.712500000000006</v>
      </c>
      <c r="G7" s="35">
        <f>SUMIF(Tabela2[PRODUTO],Tabela1[[#This Row],[PRODUTO]],Tabela2[QTD])</f>
        <v>2</v>
      </c>
    </row>
    <row r="8" spans="1:14" ht="30" customHeight="1">
      <c r="B8" s="45" t="s">
        <v>13</v>
      </c>
      <c r="C8" s="27">
        <f t="shared" si="0"/>
        <v>1</v>
      </c>
      <c r="D8" s="35">
        <f>SUMIFS(Tabela3[QUANTIDADE], Tabela3[PRODUTO], Tabela1[[#This Row],[PRODUTO]], Tabela3[STATUS], TRIM(UPPER("ENTREGUE")))</f>
        <v>3</v>
      </c>
      <c r="E8" s="53">
        <f>AVERAGEIFS(
  Tabela3[CUSTO UNITÁRIO],
  Tabela3[PRODUTO], Tabela1[[#This Row],[PRODUTO]],
  Tabela3[STATUS], "ENTREGUE"
)</f>
        <v>15</v>
      </c>
      <c r="F8" s="53">
        <f ca="1">IFERROR(
  AVERAGEIFS(
    Tabela3[CUSTO UNITÁRIO],
    Tabela3[PRODUTO], Tabela1[[#This Row],[PRODUTO]],
    Tabela3[STATUS], "ENTREGUE",
    Tabela3[DATA], "&gt;="&amp;TODAY()-30
  ) * 2.5,
"")</f>
        <v>37.5</v>
      </c>
      <c r="G8" s="35">
        <f>SUMIF(Tabela2[PRODUTO],Tabela1[[#This Row],[PRODUTO]],Tabela2[QTD])</f>
        <v>2</v>
      </c>
    </row>
    <row r="9" spans="1:14" ht="30" customHeight="1">
      <c r="B9" s="45" t="s">
        <v>16</v>
      </c>
      <c r="C9" s="27">
        <f t="shared" si="0"/>
        <v>24</v>
      </c>
      <c r="D9" s="35">
        <f>SUMIFS(Tabela3[QUANTIDADE], Tabela3[PRODUTO], Tabela1[[#This Row],[PRODUTO]], Tabela3[STATUS], TRIM(UPPER("ENTREGUE")))</f>
        <v>25</v>
      </c>
      <c r="E9" s="53">
        <f>AVERAGEIFS(
  Tabela3[CUSTO UNITÁRIO],
  Tabela3[PRODUTO], Tabela1[[#This Row],[PRODUTO]],
  Tabela3[STATUS], "ENTREGUE"
)</f>
        <v>20</v>
      </c>
      <c r="F9" s="53">
        <f ca="1">IFERROR(
  AVERAGEIFS(
    Tabela3[CUSTO UNITÁRIO],
    Tabela3[PRODUTO], Tabela1[[#This Row],[PRODUTO]],
    Tabela3[STATUS], "ENTREGUE",
    Tabela3[DATA], "&gt;="&amp;TODAY()-30
  ) * 2.5,
"")</f>
        <v>50</v>
      </c>
      <c r="G9" s="35">
        <f>SUMIF(Tabela2[PRODUTO],Tabela1[[#This Row],[PRODUTO]],Tabela2[QTD])</f>
        <v>1</v>
      </c>
    </row>
    <row r="10" spans="1:14" ht="30" customHeight="1">
      <c r="B10" s="45" t="s">
        <v>17</v>
      </c>
      <c r="C10" s="27">
        <f t="shared" si="0"/>
        <v>20</v>
      </c>
      <c r="D10" s="35">
        <f>SUMIFS(Tabela3[QUANTIDADE], Tabela3[PRODUTO], Tabela1[[#This Row],[PRODUTO]], Tabela3[STATUS], TRIM(UPPER("ENTREGUE")))</f>
        <v>21</v>
      </c>
      <c r="E10" s="53">
        <f>AVERAGEIFS(
  Tabela3[CUSTO UNITÁRIO],
  Tabela3[PRODUTO], Tabela1[[#This Row],[PRODUTO]],
  Tabela3[STATUS], "ENTREGUE"
)</f>
        <v>20</v>
      </c>
      <c r="F10" s="53">
        <f ca="1">IFERROR(
  AVERAGEIFS(
    Tabela3[CUSTO UNITÁRIO],
    Tabela3[PRODUTO], Tabela1[[#This Row],[PRODUTO]],
    Tabela3[STATUS], "ENTREGUE",
    Tabela3[DATA], "&gt;="&amp;TODAY()-30
  ) * 2.5,
"")</f>
        <v>50</v>
      </c>
      <c r="G10" s="35">
        <f>SUMIF(Tabela2[PRODUTO],Tabela1[[#This Row],[PRODUTO]],Tabela2[QTD])</f>
        <v>1</v>
      </c>
    </row>
    <row r="11" spans="1:14" ht="30" customHeight="1">
      <c r="B11" s="45" t="s">
        <v>3</v>
      </c>
      <c r="C11" s="27">
        <f t="shared" si="0"/>
        <v>3</v>
      </c>
      <c r="D11" s="35">
        <f>SUMIFS(Tabela3[QUANTIDADE], Tabela3[PRODUTO], Tabela1[[#This Row],[PRODUTO]], Tabela3[STATUS], TRIM(UPPER("ENTREGUE")))</f>
        <v>4</v>
      </c>
      <c r="E11" s="53">
        <f>AVERAGEIFS(
  Tabela3[CUSTO UNITÁRIO],
  Tabela3[PRODUTO], Tabela1[[#This Row],[PRODUTO]],
  Tabela3[STATUS], "ENTREGUE"
)</f>
        <v>14.306666666666667</v>
      </c>
      <c r="F11" s="53">
        <f ca="1">IFERROR(
  AVERAGEIFS(
    Tabela3[CUSTO UNITÁRIO],
    Tabela3[PRODUTO], Tabela1[[#This Row],[PRODUTO]],
    Tabela3[STATUS], "ENTREGUE",
    Tabela3[DATA], "&gt;="&amp;TODAY()-30
  ) * 2.5,
"")</f>
        <v>35.766666666666666</v>
      </c>
      <c r="G11" s="35">
        <f>SUMIF(Tabela2[PRODUTO],Tabela1[[#This Row],[PRODUTO]],Tabela2[QTD])</f>
        <v>1</v>
      </c>
    </row>
    <row r="12" spans="1:14" ht="30" customHeight="1">
      <c r="B12" s="45" t="s">
        <v>12</v>
      </c>
      <c r="C12" s="27">
        <f t="shared" si="0"/>
        <v>3</v>
      </c>
      <c r="D12" s="35">
        <f>SUMIFS(Tabela3[QUANTIDADE], Tabela3[PRODUTO], Tabela1[[#This Row],[PRODUTO]], Tabela3[STATUS], TRIM(UPPER("ENTREGUE")))</f>
        <v>4</v>
      </c>
      <c r="E12" s="53">
        <f>AVERAGEIFS(
  Tabela3[CUSTO UNITÁRIO],
  Tabela3[PRODUTO], Tabela1[[#This Row],[PRODUTO]],
  Tabela3[STATUS], "ENTREGUE"
)</f>
        <v>13.29</v>
      </c>
      <c r="F12" s="53">
        <f ca="1">IFERROR(
  AVERAGEIFS(
    Tabela3[CUSTO UNITÁRIO],
    Tabela3[PRODUTO], Tabela1[[#This Row],[PRODUTO]],
    Tabela3[STATUS], "ENTREGUE",
    Tabela3[DATA], "&gt;="&amp;TODAY()-30
  ) * 2.5,
"")</f>
        <v>33.224999999999994</v>
      </c>
      <c r="G12" s="35">
        <f>SUMIF(Tabela2[PRODUTO],Tabela1[[#This Row],[PRODUTO]],Tabela2[QTD])</f>
        <v>1</v>
      </c>
    </row>
    <row r="13" spans="1:14" ht="30" customHeight="1">
      <c r="B13" s="45" t="s">
        <v>7</v>
      </c>
      <c r="C13" s="27">
        <f t="shared" si="0"/>
        <v>3</v>
      </c>
      <c r="D13" s="35">
        <f>SUMIFS(Tabela3[QUANTIDADE], Tabela3[PRODUTO], Tabela1[[#This Row],[PRODUTO]], Tabela3[STATUS], TRIM(UPPER("ENTREGUE")))</f>
        <v>4</v>
      </c>
      <c r="E13" s="53">
        <f>AVERAGEIFS(
  Tabela3[CUSTO UNITÁRIO],
  Tabela3[PRODUTO], Tabela1[[#This Row],[PRODUTO]],
  Tabela3[STATUS], "ENTREGUE"
)</f>
        <v>15</v>
      </c>
      <c r="F13" s="53">
        <f ca="1">IFERROR(
  AVERAGEIFS(
    Tabela3[CUSTO UNITÁRIO],
    Tabela3[PRODUTO], Tabela1[[#This Row],[PRODUTO]],
    Tabela3[STATUS], "ENTREGUE",
    Tabela3[DATA], "&gt;="&amp;TODAY()-30
  ) * 2.5,
"")</f>
        <v>37.5</v>
      </c>
      <c r="G13" s="35">
        <f>SUMIF(Tabela2[PRODUTO],Tabela1[[#This Row],[PRODUTO]],Tabela2[QTD])</f>
        <v>1</v>
      </c>
    </row>
    <row r="14" spans="1:14" ht="30" customHeight="1">
      <c r="B14" s="45" t="s">
        <v>18</v>
      </c>
      <c r="C14" s="27">
        <f t="shared" si="0"/>
        <v>3</v>
      </c>
      <c r="D14" s="35">
        <f>SUMIFS(Tabela3[QUANTIDADE], Tabela3[PRODUTO], Tabela1[[#This Row],[PRODUTO]], Tabela3[STATUS], TRIM(UPPER("ENTREGUE")))</f>
        <v>4</v>
      </c>
      <c r="E14" s="53">
        <f>AVERAGEIFS(
  Tabela3[CUSTO UNITÁRIO],
  Tabela3[PRODUTO], Tabela1[[#This Row],[PRODUTO]],
  Tabela3[STATUS], "ENTREGUE"
)</f>
        <v>50</v>
      </c>
      <c r="F14" s="53">
        <f ca="1">IFERROR(
  AVERAGEIFS(
    Tabela3[CUSTO UNITÁRIO],
    Tabela3[PRODUTO], Tabela1[[#This Row],[PRODUTO]],
    Tabela3[STATUS], "ENTREGUE",
    Tabela3[DATA], "&gt;="&amp;TODAY()-30
  ) * 2.5,
"")</f>
        <v>125</v>
      </c>
      <c r="G14" s="35">
        <f>SUMIF(Tabela2[PRODUTO],Tabela1[[#This Row],[PRODUTO]],Tabela2[QTD])</f>
        <v>1</v>
      </c>
    </row>
    <row r="15" spans="1:14" ht="30" customHeight="1">
      <c r="B15" s="45" t="s">
        <v>5</v>
      </c>
      <c r="C15" s="27">
        <f t="shared" si="0"/>
        <v>2</v>
      </c>
      <c r="D15" s="35">
        <f>SUMIFS(Tabela3[QUANTIDADE], Tabela3[PRODUTO], Tabela1[[#This Row],[PRODUTO]], Tabela3[STATUS], TRIM(UPPER("ENTREGUE")))</f>
        <v>3</v>
      </c>
      <c r="E15" s="53">
        <f>AVERAGEIFS(
  Tabela3[CUSTO UNITÁRIO],
  Tabela3[PRODUTO], Tabela1[[#This Row],[PRODUTO]],
  Tabela3[STATUS], "ENTREGUE"
)</f>
        <v>52.550000000000004</v>
      </c>
      <c r="F15" s="53">
        <f ca="1">IFERROR(
  AVERAGEIFS(
    Tabela3[CUSTO UNITÁRIO],
    Tabela3[PRODUTO], Tabela1[[#This Row],[PRODUTO]],
    Tabela3[STATUS], "ENTREGUE",
    Tabela3[DATA], "&gt;="&amp;TODAY()-30
  ) * 2.5,
"")</f>
        <v>131.375</v>
      </c>
      <c r="G15" s="35">
        <f>SUMIF(Tabela2[PRODUTO],Tabela1[[#This Row],[PRODUTO]],Tabela2[QTD])</f>
        <v>1</v>
      </c>
    </row>
    <row r="16" spans="1:14" ht="30" customHeight="1">
      <c r="B16" s="45" t="s">
        <v>15</v>
      </c>
      <c r="C16" s="27">
        <f t="shared" si="0"/>
        <v>2</v>
      </c>
      <c r="D16" s="35">
        <f>SUMIFS(Tabela3[QUANTIDADE], Tabela3[PRODUTO], Tabela1[[#This Row],[PRODUTO]], Tabela3[STATUS], TRIM(UPPER("ENTREGUE")))</f>
        <v>3</v>
      </c>
      <c r="E16" s="53">
        <f>AVERAGEIFS(
  Tabela3[CUSTO UNITÁRIO],
  Tabela3[PRODUTO], Tabela1[[#This Row],[PRODUTO]],
  Tabela3[STATUS], "ENTREGUE"
)</f>
        <v>20</v>
      </c>
      <c r="F16" s="53">
        <f ca="1">IFERROR(
  AVERAGEIFS(
    Tabela3[CUSTO UNITÁRIO],
    Tabela3[PRODUTO], Tabela1[[#This Row],[PRODUTO]],
    Tabela3[STATUS], "ENTREGUE",
    Tabela3[DATA], "&gt;="&amp;TODAY()-30
  ) * 2.5,
"")</f>
        <v>50</v>
      </c>
      <c r="G16" s="35">
        <f>SUMIF(Tabela2[PRODUTO],Tabela1[[#This Row],[PRODUTO]],Tabela2[QTD])</f>
        <v>1</v>
      </c>
    </row>
    <row r="17" spans="2:7" ht="30" customHeight="1">
      <c r="B17" s="45" t="s">
        <v>26</v>
      </c>
      <c r="C17" s="27">
        <f t="shared" si="0"/>
        <v>0</v>
      </c>
      <c r="D17" s="35">
        <f>SUMIFS(Tabela3[QUANTIDADE], Tabela3[PRODUTO], Tabela1[[#This Row],[PRODUTO]], Tabela3[STATUS], TRIM(UPPER("ENTREGUE")))</f>
        <v>2</v>
      </c>
      <c r="E17" s="53">
        <f>AVERAGEIFS(
  Tabela3[CUSTO UNITÁRIO],
  Tabela3[PRODUTO], Tabela1[[#This Row],[PRODUTO]],
  Tabela3[STATUS], "ENTREGUE"
)</f>
        <v>30</v>
      </c>
      <c r="F17" s="53">
        <f ca="1">IFERROR(
  AVERAGEIFS(
    Tabela3[CUSTO UNITÁRIO],
    Tabela3[PRODUTO], Tabela1[[#This Row],[PRODUTO]],
    Tabela3[STATUS], "ENTREGUE",
    Tabela3[DATA], "&gt;="&amp;TODAY()-30
  ) * 2.5,
"")</f>
        <v>75</v>
      </c>
      <c r="G17" s="35">
        <f>SUMIF(Tabela2[PRODUTO],Tabela1[[#This Row],[PRODUTO]],Tabela2[QTD])</f>
        <v>2</v>
      </c>
    </row>
    <row r="18" spans="2:7" ht="30" customHeight="1">
      <c r="B18" s="45" t="s">
        <v>27</v>
      </c>
      <c r="C18" s="27">
        <f t="shared" si="0"/>
        <v>0</v>
      </c>
      <c r="D18" s="35">
        <f>SUMIFS(Tabela3[QUANTIDADE], Tabela3[PRODUTO], Tabela1[[#This Row],[PRODUTO]], Tabela3[STATUS], TRIM(UPPER("ENTREGUE")))</f>
        <v>1</v>
      </c>
      <c r="E18" s="53">
        <f>AVERAGEIFS(
  Tabela3[CUSTO UNITÁRIO],
  Tabela3[PRODUTO], Tabela1[[#This Row],[PRODUTO]],
  Tabela3[STATUS], "ENTREGUE"
)</f>
        <v>50</v>
      </c>
      <c r="F18" s="53">
        <f ca="1">IFERROR(
  AVERAGEIFS(
    Tabela3[CUSTO UNITÁRIO],
    Tabela3[PRODUTO], Tabela1[[#This Row],[PRODUTO]],
    Tabela3[STATUS], "ENTREGUE",
    Tabela3[DATA], "&gt;="&amp;TODAY()-30
  ) * 2.5,
"")</f>
        <v>125</v>
      </c>
      <c r="G18" s="35">
        <f>SUMIF(Tabela2[PRODUTO],Tabela1[[#This Row],[PRODUTO]],Tabela2[QTD])</f>
        <v>1</v>
      </c>
    </row>
    <row r="19" spans="2:7" ht="30" customHeight="1">
      <c r="B19" s="45" t="s">
        <v>2</v>
      </c>
      <c r="C19" s="27">
        <f t="shared" si="0"/>
        <v>0</v>
      </c>
      <c r="D19" s="35">
        <f>SUMIFS(Tabela3[QUANTIDADE], Tabela3[PRODUTO], Tabela1[[#This Row],[PRODUTO]], Tabela3[STATUS], TRIM(UPPER("ENTREGUE")))</f>
        <v>1</v>
      </c>
      <c r="E19" s="53">
        <f>AVERAGEIFS(
  Tabela3[CUSTO UNITÁRIO],
  Tabela3[PRODUTO], Tabela1[[#This Row],[PRODUTO]],
  Tabela3[STATUS], "ENTREGUE"
)</f>
        <v>20</v>
      </c>
      <c r="F19" s="53">
        <f ca="1">IFERROR(
  AVERAGEIFS(
    Tabela3[CUSTO UNITÁRIO],
    Tabela3[PRODUTO], Tabela1[[#This Row],[PRODUTO]],
    Tabela3[STATUS], "ENTREGUE",
    Tabela3[DATA], "&gt;="&amp;TODAY()-30
  ) * 2.5,
"")</f>
        <v>50</v>
      </c>
      <c r="G19" s="35">
        <f>SUMIF(Tabela2[PRODUTO],Tabela1[[#This Row],[PRODUTO]],Tabela2[QTD])</f>
        <v>1</v>
      </c>
    </row>
    <row r="20" spans="2:7" ht="30" customHeight="1">
      <c r="B20" s="45" t="s">
        <v>8</v>
      </c>
      <c r="C20" s="27">
        <f t="shared" si="0"/>
        <v>0</v>
      </c>
      <c r="D20" s="35">
        <f>SUMIFS(Tabela3[QUANTIDADE], Tabela3[PRODUTO], Tabela1[[#This Row],[PRODUTO]], Tabela3[STATUS], TRIM(UPPER("ENTREGUE")))</f>
        <v>1</v>
      </c>
      <c r="E20" s="53">
        <f>AVERAGEIFS(
  Tabela3[CUSTO UNITÁRIO],
  Tabela3[PRODUTO], Tabela1[[#This Row],[PRODUTO]],
  Tabela3[STATUS], "ENTREGUE"
)</f>
        <v>15</v>
      </c>
      <c r="F20" s="53">
        <f ca="1">IFERROR(
  AVERAGEIFS(
    Tabela3[CUSTO UNITÁRIO],
    Tabela3[PRODUTO], Tabela1[[#This Row],[PRODUTO]],
    Tabela3[STATUS], "ENTREGUE",
    Tabela3[DATA], "&gt;="&amp;TODAY()-30
  ) * 2.5,
"")</f>
        <v>37.5</v>
      </c>
      <c r="G20" s="35">
        <f>SUMIF(Tabela2[PRODUTO],Tabela1[[#This Row],[PRODUTO]],Tabela2[QTD])</f>
        <v>1</v>
      </c>
    </row>
    <row r="21" spans="2:7" ht="30" customHeight="1">
      <c r="B21" s="45" t="s">
        <v>10</v>
      </c>
      <c r="C21" s="27">
        <f t="shared" si="0"/>
        <v>0</v>
      </c>
      <c r="D21" s="35">
        <f>SUMIFS(Tabela3[QUANTIDADE], Tabela3[PRODUTO], Tabela1[[#This Row],[PRODUTO]], Tabela3[STATUS], TRIM(UPPER("ENTREGUE")))</f>
        <v>1</v>
      </c>
      <c r="E21" s="53">
        <f>AVERAGEIFS(
  Tabela3[CUSTO UNITÁRIO],
  Tabela3[PRODUTO], Tabela1[[#This Row],[PRODUTO]],
  Tabela3[STATUS], "ENTREGUE"
)</f>
        <v>11.07</v>
      </c>
      <c r="F21" s="53">
        <f ca="1">IFERROR(
  AVERAGEIFS(
    Tabela3[CUSTO UNITÁRIO],
    Tabela3[PRODUTO], Tabela1[[#This Row],[PRODUTO]],
    Tabela3[STATUS], "ENTREGUE",
    Tabela3[DATA], "&gt;="&amp;TODAY()-30
  ) * 2.5,
"")</f>
        <v>27.675000000000001</v>
      </c>
      <c r="G21" s="35">
        <f>SUMIF(Tabela2[PRODUTO],Tabela1[[#This Row],[PRODUTO]],Tabela2[QTD])</f>
        <v>1</v>
      </c>
    </row>
    <row r="22" spans="2:7" ht="30" customHeight="1">
      <c r="B22" s="45" t="s">
        <v>28</v>
      </c>
      <c r="C22" s="27">
        <f t="shared" si="0"/>
        <v>15</v>
      </c>
      <c r="D22" s="35">
        <f>SUMIFS(Tabela3[QUANTIDADE], Tabela3[PRODUTO], Tabela1[[#This Row],[PRODUTO]], Tabela3[STATUS], TRIM(UPPER("ENTREGUE")))</f>
        <v>15</v>
      </c>
      <c r="E22" s="53">
        <f>AVERAGEIFS(
  Tabela3[CUSTO UNITÁRIO],
  Tabela3[PRODUTO], Tabela1[[#This Row],[PRODUTO]],
  Tabela3[STATUS], "ENTREGUE"
)</f>
        <v>11</v>
      </c>
      <c r="F22" s="53">
        <f ca="1">IFERROR(
  AVERAGEIFS(
    Tabela3[CUSTO UNITÁRIO],
    Tabela3[PRODUTO], Tabela1[[#This Row],[PRODUTO]],
    Tabela3[STATUS], "ENTREGUE",
    Tabela3[DATA], "&gt;="&amp;TODAY()-30
  ) * 2.5,
"")</f>
        <v>27.5</v>
      </c>
      <c r="G22" s="35">
        <f>SUMIF(Tabela2[PRODUTO],Tabela1[[#This Row],[PRODUTO]],Tabela2[QTD])</f>
        <v>0</v>
      </c>
    </row>
    <row r="23" spans="2:7" ht="30" customHeight="1">
      <c r="B23" s="45" t="s">
        <v>29</v>
      </c>
      <c r="C23" s="27">
        <f t="shared" si="0"/>
        <v>12</v>
      </c>
      <c r="D23" s="35">
        <f>SUMIFS(Tabela3[QUANTIDADE], Tabela3[PRODUTO], Tabela1[[#This Row],[PRODUTO]], Tabela3[STATUS], TRIM(UPPER("ENTREGUE")))</f>
        <v>12</v>
      </c>
      <c r="E23" s="53">
        <f>AVERAGEIFS(
  Tabela3[CUSTO UNITÁRIO],
  Tabela3[PRODUTO], Tabela1[[#This Row],[PRODUTO]],
  Tabela3[STATUS], "ENTREGUE"
)</f>
        <v>24.806999999999999</v>
      </c>
      <c r="F23" s="53">
        <f ca="1">IFERROR(
  AVERAGEIFS(
    Tabela3[CUSTO UNITÁRIO],
    Tabela3[PRODUTO], Tabela1[[#This Row],[PRODUTO]],
    Tabela3[STATUS], "ENTREGUE",
    Tabela3[DATA], "&gt;="&amp;TODAY()-30
  ) * 2.5,
"")</f>
        <v>62.017499999999998</v>
      </c>
      <c r="G23" s="35">
        <f>SUMIF(Tabela2[PRODUTO],Tabela1[[#This Row],[PRODUTO]],Tabela2[QTD])</f>
        <v>0</v>
      </c>
    </row>
    <row r="24" spans="2:7" ht="30" customHeight="1">
      <c r="B24" s="45" t="s">
        <v>30</v>
      </c>
      <c r="C24" s="27">
        <f t="shared" si="0"/>
        <v>10</v>
      </c>
      <c r="D24" s="35">
        <f>SUMIFS(Tabela3[QUANTIDADE], Tabela3[PRODUTO], Tabela1[[#This Row],[PRODUTO]], Tabela3[STATUS], TRIM(UPPER("ENTREGUE")))</f>
        <v>10</v>
      </c>
      <c r="E24" s="53">
        <f>AVERAGEIFS(
  Tabela3[CUSTO UNITÁRIO],
  Tabela3[PRODUTO], Tabela1[[#This Row],[PRODUTO]],
  Tabela3[STATUS], "ENTREGUE"
)</f>
        <v>17.899999999999999</v>
      </c>
      <c r="F24" s="53">
        <f ca="1">IFERROR(
  AVERAGEIFS(
    Tabela3[CUSTO UNITÁRIO],
    Tabela3[PRODUTO], Tabela1[[#This Row],[PRODUTO]],
    Tabela3[STATUS], "ENTREGUE",
    Tabela3[DATA], "&gt;="&amp;TODAY()-30
  ) * 2.5,
"")</f>
        <v>44.75</v>
      </c>
      <c r="G24" s="35">
        <f>SUMIF(Tabela2[PRODUTO],Tabela1[[#This Row],[PRODUTO]],Tabela2[QTD])</f>
        <v>0</v>
      </c>
    </row>
    <row r="25" spans="2:7" ht="30" customHeight="1">
      <c r="B25" s="45" t="s">
        <v>31</v>
      </c>
      <c r="C25" s="27">
        <f t="shared" si="0"/>
        <v>8</v>
      </c>
      <c r="D25" s="35">
        <f>SUMIFS(Tabela3[QUANTIDADE], Tabela3[PRODUTO], Tabela1[[#This Row],[PRODUTO]], Tabela3[STATUS], TRIM(UPPER("ENTREGUE")))</f>
        <v>8</v>
      </c>
      <c r="E25" s="53">
        <f>AVERAGEIFS(
  Tabela3[CUSTO UNITÁRIO],
  Tabela3[PRODUTO], Tabela1[[#This Row],[PRODUTO]],
  Tabela3[STATUS], "ENTREGUE"
)</f>
        <v>20</v>
      </c>
      <c r="F25" s="53">
        <f ca="1">IFERROR(
  AVERAGEIFS(
    Tabela3[CUSTO UNITÁRIO],
    Tabela3[PRODUTO], Tabela1[[#This Row],[PRODUTO]],
    Tabela3[STATUS], "ENTREGUE",
    Tabela3[DATA], "&gt;="&amp;TODAY()-30
  ) * 2.5,
"")</f>
        <v>50</v>
      </c>
      <c r="G25" s="35">
        <f>SUMIF(Tabela2[PRODUTO],Tabela1[[#This Row],[PRODUTO]],Tabela2[QTD])</f>
        <v>0</v>
      </c>
    </row>
    <row r="26" spans="2:7" ht="30" customHeight="1">
      <c r="B26" s="45" t="s">
        <v>32</v>
      </c>
      <c r="C26" s="27">
        <f t="shared" si="0"/>
        <v>6</v>
      </c>
      <c r="D26" s="35">
        <f>SUMIFS(Tabela3[QUANTIDADE], Tabela3[PRODUTO], Tabela1[[#This Row],[PRODUTO]], Tabela3[STATUS], TRIM(UPPER("ENTREGUE")))</f>
        <v>6</v>
      </c>
      <c r="E26" s="53">
        <f>AVERAGEIFS(
  Tabela3[CUSTO UNITÁRIO],
  Tabela3[PRODUTO], Tabela1[[#This Row],[PRODUTO]],
  Tabela3[STATUS], "ENTREGUE"
)</f>
        <v>13.01</v>
      </c>
      <c r="F26" s="53">
        <f ca="1">IFERROR(
  AVERAGEIFS(
    Tabela3[CUSTO UNITÁRIO],
    Tabela3[PRODUTO], Tabela1[[#This Row],[PRODUTO]],
    Tabela3[STATUS], "ENTREGUE",
    Tabela3[DATA], "&gt;="&amp;TODAY()-30
  ) * 2.5,
"")</f>
        <v>32.524999999999999</v>
      </c>
      <c r="G26" s="35">
        <f>SUMIF(Tabela2[PRODUTO],Tabela1[[#This Row],[PRODUTO]],Tabela2[QTD])</f>
        <v>0</v>
      </c>
    </row>
    <row r="27" spans="2:7" ht="30" customHeight="1">
      <c r="B27" s="45" t="s">
        <v>33</v>
      </c>
      <c r="C27" s="27">
        <f t="shared" si="0"/>
        <v>5</v>
      </c>
      <c r="D27" s="35">
        <f>SUMIFS(Tabela3[QUANTIDADE], Tabela3[PRODUTO], Tabela1[[#This Row],[PRODUTO]], Tabela3[STATUS], TRIM(UPPER("ENTREGUE")))</f>
        <v>5</v>
      </c>
      <c r="E27" s="53">
        <f>AVERAGEIFS(
  Tabela3[CUSTO UNITÁRIO],
  Tabela3[PRODUTO], Tabela1[[#This Row],[PRODUTO]],
  Tabela3[STATUS], "ENTREGUE"
)</f>
        <v>15</v>
      </c>
      <c r="F27" s="53">
        <f ca="1">IFERROR(
  AVERAGEIFS(
    Tabela3[CUSTO UNITÁRIO],
    Tabela3[PRODUTO], Tabela1[[#This Row],[PRODUTO]],
    Tabela3[STATUS], "ENTREGUE",
    Tabela3[DATA], "&gt;="&amp;TODAY()-30
  ) * 2.5,
"")</f>
        <v>37.5</v>
      </c>
      <c r="G27" s="35">
        <f>SUMIF(Tabela2[PRODUTO],Tabela1[[#This Row],[PRODUTO]],Tabela2[QTD])</f>
        <v>0</v>
      </c>
    </row>
    <row r="28" spans="2:7" ht="30" customHeight="1">
      <c r="B28" s="45" t="s">
        <v>34</v>
      </c>
      <c r="C28" s="27">
        <f t="shared" si="0"/>
        <v>5</v>
      </c>
      <c r="D28" s="35">
        <f>SUMIFS(Tabela3[QUANTIDADE], Tabela3[PRODUTO], Tabela1[[#This Row],[PRODUTO]], Tabela3[STATUS], TRIM(UPPER("ENTREGUE")))</f>
        <v>5</v>
      </c>
      <c r="E28" s="53">
        <f>AVERAGEIFS(
  Tabela3[CUSTO UNITÁRIO],
  Tabela3[PRODUTO], Tabela1[[#This Row],[PRODUTO]],
  Tabela3[STATUS], "ENTREGUE"
)</f>
        <v>20</v>
      </c>
      <c r="F28" s="53">
        <f ca="1">IFERROR(
  AVERAGEIFS(
    Tabela3[CUSTO UNITÁRIO],
    Tabela3[PRODUTO], Tabela1[[#This Row],[PRODUTO]],
    Tabela3[STATUS], "ENTREGUE",
    Tabela3[DATA], "&gt;="&amp;TODAY()-30
  ) * 2.5,
"")</f>
        <v>50</v>
      </c>
      <c r="G28" s="35">
        <f>SUMIF(Tabela2[PRODUTO],Tabela1[[#This Row],[PRODUTO]],Tabela2[QTD])</f>
        <v>0</v>
      </c>
    </row>
    <row r="29" spans="2:7" ht="30" customHeight="1">
      <c r="B29" s="45" t="s">
        <v>35</v>
      </c>
      <c r="C29" s="27">
        <f t="shared" si="0"/>
        <v>5</v>
      </c>
      <c r="D29" s="35">
        <f>SUMIFS(Tabela3[QUANTIDADE], Tabela3[PRODUTO], Tabela1[[#This Row],[PRODUTO]], Tabela3[STATUS], TRIM(UPPER("ENTREGUE")))</f>
        <v>5</v>
      </c>
      <c r="E29" s="53">
        <f>AVERAGEIFS(
  Tabela3[CUSTO UNITÁRIO],
  Tabela3[PRODUTO], Tabela1[[#This Row],[PRODUTO]],
  Tabela3[STATUS], "ENTREGUE"
)</f>
        <v>15.875</v>
      </c>
      <c r="F29" s="53">
        <f ca="1">IFERROR(
  AVERAGEIFS(
    Tabela3[CUSTO UNITÁRIO],
    Tabela3[PRODUTO], Tabela1[[#This Row],[PRODUTO]],
    Tabela3[STATUS], "ENTREGUE",
    Tabela3[DATA], "&gt;="&amp;TODAY()-30
  ) * 2.5,
"")</f>
        <v>39.6875</v>
      </c>
      <c r="G29" s="35">
        <f>SUMIF(Tabela2[PRODUTO],Tabela1[[#This Row],[PRODUTO]],Tabela2[QTD])</f>
        <v>0</v>
      </c>
    </row>
    <row r="30" spans="2:7" ht="30" customHeight="1">
      <c r="B30" s="45" t="s">
        <v>36</v>
      </c>
      <c r="C30" s="27">
        <f t="shared" si="0"/>
        <v>5</v>
      </c>
      <c r="D30" s="35">
        <f>SUMIFS(Tabela3[QUANTIDADE], Tabela3[PRODUTO], Tabela1[[#This Row],[PRODUTO]], Tabela3[STATUS], TRIM(UPPER("ENTREGUE")))</f>
        <v>5</v>
      </c>
      <c r="E30" s="53">
        <f>AVERAGEIFS(
  Tabela3[CUSTO UNITÁRIO],
  Tabela3[PRODUTO], Tabela1[[#This Row],[PRODUTO]],
  Tabela3[STATUS], "ENTREGUE"
)</f>
        <v>30</v>
      </c>
      <c r="F30" s="53">
        <f ca="1">IFERROR(
  AVERAGEIFS(
    Tabela3[CUSTO UNITÁRIO],
    Tabela3[PRODUTO], Tabela1[[#This Row],[PRODUTO]],
    Tabela3[STATUS], "ENTREGUE",
    Tabela3[DATA], "&gt;="&amp;TODAY()-30
  ) * 2.5,
"")</f>
        <v>75</v>
      </c>
      <c r="G30" s="35">
        <f>SUMIF(Tabela2[PRODUTO],Tabela1[[#This Row],[PRODUTO]],Tabela2[QTD])</f>
        <v>0</v>
      </c>
    </row>
    <row r="31" spans="2:7" ht="30" customHeight="1">
      <c r="B31" s="45" t="s">
        <v>37</v>
      </c>
      <c r="C31" s="27">
        <f t="shared" si="0"/>
        <v>4</v>
      </c>
      <c r="D31" s="35">
        <f>SUMIFS(Tabela3[QUANTIDADE], Tabela3[PRODUTO], Tabela1[[#This Row],[PRODUTO]], Tabela3[STATUS], TRIM(UPPER("ENTREGUE")))</f>
        <v>4</v>
      </c>
      <c r="E31" s="53">
        <f>AVERAGEIFS(
  Tabela3[CUSTO UNITÁRIO],
  Tabela3[PRODUTO], Tabela1[[#This Row],[PRODUTO]],
  Tabela3[STATUS], "ENTREGUE"
)</f>
        <v>22.152499999999996</v>
      </c>
      <c r="F31" s="53">
        <f ca="1">IFERROR(
  AVERAGEIFS(
    Tabela3[CUSTO UNITÁRIO],
    Tabela3[PRODUTO], Tabela1[[#This Row],[PRODUTO]],
    Tabela3[STATUS], "ENTREGUE",
    Tabela3[DATA], "&gt;="&amp;TODAY()-30
  ) * 2.5,
"")</f>
        <v>55.381249999999994</v>
      </c>
      <c r="G31" s="35">
        <f>SUMIF(Tabela2[PRODUTO],Tabela1[[#This Row],[PRODUTO]],Tabela2[QTD])</f>
        <v>0</v>
      </c>
    </row>
    <row r="32" spans="2:7" ht="30" customHeight="1">
      <c r="B32" s="45" t="s">
        <v>38</v>
      </c>
      <c r="C32" s="27">
        <f t="shared" si="0"/>
        <v>4</v>
      </c>
      <c r="D32" s="35">
        <f>SUMIFS(Tabela3[QUANTIDADE], Tabela3[PRODUTO], Tabela1[[#This Row],[PRODUTO]], Tabela3[STATUS], TRIM(UPPER("ENTREGUE")))</f>
        <v>4</v>
      </c>
      <c r="E32" s="53">
        <f>AVERAGEIFS(
  Tabela3[CUSTO UNITÁRIO],
  Tabela3[PRODUTO], Tabela1[[#This Row],[PRODUTO]],
  Tabela3[STATUS], "ENTREGUE"
)</f>
        <v>32.534999999999997</v>
      </c>
      <c r="F32" s="53">
        <f ca="1">IFERROR(
  AVERAGEIFS(
    Tabela3[CUSTO UNITÁRIO],
    Tabela3[PRODUTO], Tabela1[[#This Row],[PRODUTO]],
    Tabela3[STATUS], "ENTREGUE",
    Tabela3[DATA], "&gt;="&amp;TODAY()-30
  ) * 2.5,
"")</f>
        <v>81.337499999999991</v>
      </c>
      <c r="G32" s="35">
        <f>SUMIF(Tabela2[PRODUTO],Tabela1[[#This Row],[PRODUTO]],Tabela2[QTD])</f>
        <v>0</v>
      </c>
    </row>
    <row r="33" spans="2:7" ht="30" customHeight="1">
      <c r="B33" s="46" t="s">
        <v>9</v>
      </c>
      <c r="C33" s="27">
        <f t="shared" si="0"/>
        <v>3</v>
      </c>
      <c r="D33" s="35">
        <f>SUMIFS(Tabela3[QUANTIDADE], Tabela3[PRODUTO], Tabela1[[#This Row],[PRODUTO]], Tabela3[STATUS], TRIM(UPPER("ENTREGUE")))</f>
        <v>4</v>
      </c>
      <c r="E33" s="53">
        <f>AVERAGEIFS(
  Tabela3[CUSTO UNITÁRIO],
  Tabela3[PRODUTO], Tabela1[[#This Row],[PRODUTO]],
  Tabela3[STATUS], "ENTREGUE"
)</f>
        <v>20</v>
      </c>
      <c r="F33" s="53">
        <f ca="1">IFERROR(
  AVERAGEIFS(
    Tabela3[CUSTO UNITÁRIO],
    Tabela3[PRODUTO], Tabela1[[#This Row],[PRODUTO]],
    Tabela3[STATUS], "ENTREGUE",
    Tabela3[DATA], "&gt;="&amp;TODAY()-30
  ) * 2.5,
"")</f>
        <v>50</v>
      </c>
      <c r="G33" s="35">
        <f>SUMIF(Tabela2[PRODUTO],Tabela1[[#This Row],[PRODUTO]],Tabela2[QTD])</f>
        <v>1</v>
      </c>
    </row>
    <row r="34" spans="2:7" ht="30" customHeight="1">
      <c r="B34" s="45" t="s">
        <v>39</v>
      </c>
      <c r="C34" s="27">
        <f t="shared" si="0"/>
        <v>4</v>
      </c>
      <c r="D34" s="35">
        <f>SUMIFS(Tabela3[QUANTIDADE], Tabela3[PRODUTO], Tabela1[[#This Row],[PRODUTO]], Tabela3[STATUS], TRIM(UPPER("ENTREGUE")))</f>
        <v>4</v>
      </c>
      <c r="E34" s="53">
        <f>AVERAGEIFS(
  Tabela3[CUSTO UNITÁRIO],
  Tabela3[PRODUTO], Tabela1[[#This Row],[PRODUTO]],
  Tabela3[STATUS], "ENTREGUE"
)</f>
        <v>14.403333333333334</v>
      </c>
      <c r="F34" s="53">
        <f ca="1">IFERROR(
  AVERAGEIFS(
    Tabela3[CUSTO UNITÁRIO],
    Tabela3[PRODUTO], Tabela1[[#This Row],[PRODUTO]],
    Tabela3[STATUS], "ENTREGUE",
    Tabela3[DATA], "&gt;="&amp;TODAY()-30
  ) * 2.5,
"")</f>
        <v>36.008333333333333</v>
      </c>
      <c r="G34" s="35">
        <f>SUMIF(Tabela2[PRODUTO],Tabela1[[#This Row],[PRODUTO]],Tabela2[QTD])</f>
        <v>0</v>
      </c>
    </row>
    <row r="35" spans="2:7" ht="30" customHeight="1">
      <c r="B35" s="45" t="s">
        <v>40</v>
      </c>
      <c r="C35" s="27">
        <f t="shared" si="0"/>
        <v>3</v>
      </c>
      <c r="D35" s="35">
        <f>SUMIFS(Tabela3[QUANTIDADE], Tabela3[PRODUTO], Tabela1[[#This Row],[PRODUTO]], Tabela3[STATUS], TRIM(UPPER("ENTREGUE")))</f>
        <v>3</v>
      </c>
      <c r="E35" s="53">
        <f>AVERAGEIFS(
  Tabela3[CUSTO UNITÁRIO],
  Tabela3[PRODUTO], Tabela1[[#This Row],[PRODUTO]],
  Tabela3[STATUS], "ENTREGUE"
)</f>
        <v>31.813333333333333</v>
      </c>
      <c r="F35" s="53">
        <f ca="1">IFERROR(
  AVERAGEIFS(
    Tabela3[CUSTO UNITÁRIO],
    Tabela3[PRODUTO], Tabela1[[#This Row],[PRODUTO]],
    Tabela3[STATUS], "ENTREGUE",
    Tabela3[DATA], "&gt;="&amp;TODAY()-30
  ) * 2.5,
"")</f>
        <v>79.533333333333331</v>
      </c>
      <c r="G35" s="35">
        <f>SUMIF(Tabela2[PRODUTO],Tabela1[[#This Row],[PRODUTO]],Tabela2[QTD])</f>
        <v>0</v>
      </c>
    </row>
    <row r="36" spans="2:7" ht="30" customHeight="1">
      <c r="B36" s="45" t="s">
        <v>41</v>
      </c>
      <c r="C36" s="27">
        <f t="shared" ref="C36:C67" si="1">D36-G36</f>
        <v>3</v>
      </c>
      <c r="D36" s="35">
        <f>SUMIFS(Tabela3[QUANTIDADE], Tabela3[PRODUTO], Tabela1[[#This Row],[PRODUTO]], Tabela3[STATUS], TRIM(UPPER("ENTREGUE")))</f>
        <v>3</v>
      </c>
      <c r="E36" s="53">
        <f>AVERAGEIFS(
  Tabela3[CUSTO UNITÁRIO],
  Tabela3[PRODUTO], Tabela1[[#This Row],[PRODUTO]],
  Tabela3[STATUS], "ENTREGUE"
)</f>
        <v>14.43</v>
      </c>
      <c r="F36" s="53">
        <f ca="1">IFERROR(
  AVERAGEIFS(
    Tabela3[CUSTO UNITÁRIO],
    Tabela3[PRODUTO], Tabela1[[#This Row],[PRODUTO]],
    Tabela3[STATUS], "ENTREGUE",
    Tabela3[DATA], "&gt;="&amp;TODAY()-30
  ) * 2.5,
"")</f>
        <v>36.075000000000003</v>
      </c>
      <c r="G36" s="35">
        <f>SUMIF(Tabela2[PRODUTO],Tabela1[[#This Row],[PRODUTO]],Tabela2[QTD])</f>
        <v>0</v>
      </c>
    </row>
    <row r="37" spans="2:7" ht="30" customHeight="1">
      <c r="B37" s="45" t="s">
        <v>42</v>
      </c>
      <c r="C37" s="27">
        <f t="shared" si="1"/>
        <v>0</v>
      </c>
      <c r="D37" s="35">
        <f>SUMIFS(Tabela3[QUANTIDADE], Tabela3[PRODUTO], Tabela1[[#This Row],[PRODUTO]], Tabela3[STATUS], TRIM(UPPER("ENTREGUE")))</f>
        <v>2</v>
      </c>
      <c r="E37" s="53">
        <f>AVERAGEIFS(
  Tabela3[CUSTO UNITÁRIO],
  Tabela3[PRODUTO], Tabela1[[#This Row],[PRODUTO]],
  Tabela3[STATUS], "ENTREGUE"
)</f>
        <v>21.195</v>
      </c>
      <c r="F37" s="53">
        <f ca="1">IFERROR(
  AVERAGEIFS(
    Tabela3[CUSTO UNITÁRIO],
    Tabela3[PRODUTO], Tabela1[[#This Row],[PRODUTO]],
    Tabela3[STATUS], "ENTREGUE",
    Tabela3[DATA], "&gt;="&amp;TODAY()-30
  ) * 2.5,
"")</f>
        <v>52.987499999999997</v>
      </c>
      <c r="G37" s="35">
        <f>SUMIF(Tabela2[PRODUTO],Tabela1[[#This Row],[PRODUTO]],Tabela2[QTD])</f>
        <v>2</v>
      </c>
    </row>
    <row r="38" spans="2:7" ht="30" customHeight="1">
      <c r="B38" s="45" t="s">
        <v>43</v>
      </c>
      <c r="C38" s="27">
        <f t="shared" si="1"/>
        <v>7</v>
      </c>
      <c r="D38" s="35">
        <f>SUMIFS(Tabela3[QUANTIDADE], Tabela3[PRODUTO], Tabela1[[#This Row],[PRODUTO]], Tabela3[STATUS], TRIM(UPPER("ENTREGUE")))</f>
        <v>7</v>
      </c>
      <c r="E38" s="53">
        <f>AVERAGEIFS(
  Tabela3[CUSTO UNITÁRIO],
  Tabela3[PRODUTO], Tabela1[[#This Row],[PRODUTO]],
  Tabela3[STATUS], "ENTREGUE"
)</f>
        <v>15.191666666666668</v>
      </c>
      <c r="F38" s="53">
        <f ca="1">IFERROR(
  AVERAGEIFS(
    Tabela3[CUSTO UNITÁRIO],
    Tabela3[PRODUTO], Tabela1[[#This Row],[PRODUTO]],
    Tabela3[STATUS], "ENTREGUE",
    Tabela3[DATA], "&gt;="&amp;TODAY()-30
  ) * 2.5,
"")</f>
        <v>37.979166666666671</v>
      </c>
      <c r="G38" s="35">
        <f>SUMIF(Tabela2[PRODUTO],Tabela1[[#This Row],[PRODUTO]],Tabela2[QTD])</f>
        <v>0</v>
      </c>
    </row>
    <row r="39" spans="2:7" ht="30" customHeight="1">
      <c r="B39" s="45" t="s">
        <v>44</v>
      </c>
      <c r="C39" s="27">
        <f t="shared" si="1"/>
        <v>2</v>
      </c>
      <c r="D39" s="35">
        <f>SUMIFS(Tabela3[QUANTIDADE], Tabela3[PRODUTO], Tabela1[[#This Row],[PRODUTO]], Tabela3[STATUS], TRIM(UPPER("ENTREGUE")))</f>
        <v>2</v>
      </c>
      <c r="E39" s="53">
        <f>AVERAGEIFS(
  Tabela3[CUSTO UNITÁRIO],
  Tabela3[PRODUTO], Tabela1[[#This Row],[PRODUTO]],
  Tabela3[STATUS], "ENTREGUE"
)</f>
        <v>20</v>
      </c>
      <c r="F39" s="53">
        <f ca="1">IFERROR(
  AVERAGEIFS(
    Tabela3[CUSTO UNITÁRIO],
    Tabela3[PRODUTO], Tabela1[[#This Row],[PRODUTO]],
    Tabela3[STATUS], "ENTREGUE",
    Tabela3[DATA], "&gt;="&amp;TODAY()-30
  ) * 2.5,
"")</f>
        <v>50</v>
      </c>
      <c r="G39" s="35">
        <f>SUMIF(Tabela2[PRODUTO],Tabela1[[#This Row],[PRODUTO]],Tabela2[QTD])</f>
        <v>0</v>
      </c>
    </row>
    <row r="40" spans="2:7" ht="30" customHeight="1">
      <c r="B40" s="45" t="s">
        <v>45</v>
      </c>
      <c r="C40" s="27">
        <f t="shared" si="1"/>
        <v>3</v>
      </c>
      <c r="D40" s="35">
        <f>SUMIFS(Tabela3[QUANTIDADE], Tabela3[PRODUTO], Tabela1[[#This Row],[PRODUTO]], Tabela3[STATUS], TRIM(UPPER("ENTREGUE")))</f>
        <v>3</v>
      </c>
      <c r="E40" s="53">
        <f>AVERAGEIFS(
  Tabela3[CUSTO UNITÁRIO],
  Tabela3[PRODUTO], Tabela1[[#This Row],[PRODUTO]],
  Tabela3[STATUS], "ENTREGUE"
)</f>
        <v>26.990000000000002</v>
      </c>
      <c r="F40" s="53">
        <f ca="1">IFERROR(
  AVERAGEIFS(
    Tabela3[CUSTO UNITÁRIO],
    Tabela3[PRODUTO], Tabela1[[#This Row],[PRODUTO]],
    Tabela3[STATUS], "ENTREGUE",
    Tabela3[DATA], "&gt;="&amp;TODAY()-30
  ) * 2.5,
"")</f>
        <v>67.475000000000009</v>
      </c>
      <c r="G40" s="35">
        <f>SUMIF(Tabela2[PRODUTO],Tabela1[[#This Row],[PRODUTO]],Tabela2[QTD])</f>
        <v>0</v>
      </c>
    </row>
    <row r="41" spans="2:7" ht="30" customHeight="1">
      <c r="B41" s="45" t="s">
        <v>46</v>
      </c>
      <c r="C41" s="27">
        <f t="shared" si="1"/>
        <v>5</v>
      </c>
      <c r="D41" s="35">
        <f>SUMIFS(Tabela3[QUANTIDADE], Tabela3[PRODUTO], Tabela1[[#This Row],[PRODUTO]], Tabela3[STATUS], TRIM(UPPER("ENTREGUE")))</f>
        <v>5</v>
      </c>
      <c r="E41" s="53">
        <f>AVERAGEIFS(
  Tabela3[CUSTO UNITÁRIO],
  Tabela3[PRODUTO], Tabela1[[#This Row],[PRODUTO]],
  Tabela3[STATUS], "ENTREGUE"
)</f>
        <v>11.31</v>
      </c>
      <c r="F41" s="53">
        <f ca="1">IFERROR(
  AVERAGEIFS(
    Tabela3[CUSTO UNITÁRIO],
    Tabela3[PRODUTO], Tabela1[[#This Row],[PRODUTO]],
    Tabela3[STATUS], "ENTREGUE",
    Tabela3[DATA], "&gt;="&amp;TODAY()-30
  ) * 2.5,
"")</f>
        <v>28.275000000000002</v>
      </c>
      <c r="G41" s="35">
        <f>SUMIF(Tabela2[PRODUTO],Tabela1[[#This Row],[PRODUTO]],Tabela2[QTD])</f>
        <v>0</v>
      </c>
    </row>
    <row r="42" spans="2:7" ht="30" customHeight="1">
      <c r="B42" s="45" t="s">
        <v>47</v>
      </c>
      <c r="C42" s="27">
        <f t="shared" si="1"/>
        <v>2</v>
      </c>
      <c r="D42" s="35">
        <f>SUMIFS(Tabela3[QUANTIDADE], Tabela3[PRODUTO], Tabela1[[#This Row],[PRODUTO]], Tabela3[STATUS], TRIM(UPPER("ENTREGUE")))</f>
        <v>2</v>
      </c>
      <c r="E42" s="53">
        <f>AVERAGEIFS(
  Tabela3[CUSTO UNITÁRIO],
  Tabela3[PRODUTO], Tabela1[[#This Row],[PRODUTO]],
  Tabela3[STATUS], "ENTREGUE"
)</f>
        <v>20</v>
      </c>
      <c r="F42" s="53">
        <f ca="1">IFERROR(
  AVERAGEIFS(
    Tabela3[CUSTO UNITÁRIO],
    Tabela3[PRODUTO], Tabela1[[#This Row],[PRODUTO]],
    Tabela3[STATUS], "ENTREGUE",
    Tabela3[DATA], "&gt;="&amp;TODAY()-30
  ) * 2.5,
"")</f>
        <v>50</v>
      </c>
      <c r="G42" s="35">
        <f>SUMIF(Tabela2[PRODUTO],Tabela1[[#This Row],[PRODUTO]],Tabela2[QTD])</f>
        <v>0</v>
      </c>
    </row>
    <row r="43" spans="2:7" ht="30" customHeight="1">
      <c r="B43" s="45" t="s">
        <v>48</v>
      </c>
      <c r="C43" s="27">
        <f t="shared" si="1"/>
        <v>2</v>
      </c>
      <c r="D43" s="35">
        <f>SUMIFS(Tabela3[QUANTIDADE], Tabela3[PRODUTO], Tabela1[[#This Row],[PRODUTO]], Tabela3[STATUS], TRIM(UPPER("ENTREGUE")))</f>
        <v>2</v>
      </c>
      <c r="E43" s="53">
        <f>AVERAGEIFS(
  Tabela3[CUSTO UNITÁRIO],
  Tabela3[PRODUTO], Tabela1[[#This Row],[PRODUTO]],
  Tabela3[STATUS], "ENTREGUE"
)</f>
        <v>35</v>
      </c>
      <c r="F43" s="53">
        <f ca="1">IFERROR(
  AVERAGEIFS(
    Tabela3[CUSTO UNITÁRIO],
    Tabela3[PRODUTO], Tabela1[[#This Row],[PRODUTO]],
    Tabela3[STATUS], "ENTREGUE",
    Tabela3[DATA], "&gt;="&amp;TODAY()-30
  ) * 2.5,
"")</f>
        <v>87.5</v>
      </c>
      <c r="G43" s="35">
        <f>SUMIF(Tabela2[PRODUTO],Tabela1[[#This Row],[PRODUTO]],Tabela2[QTD])</f>
        <v>0</v>
      </c>
    </row>
    <row r="44" spans="2:7" ht="30" customHeight="1">
      <c r="B44" s="45" t="s">
        <v>49</v>
      </c>
      <c r="C44" s="27">
        <f t="shared" si="1"/>
        <v>2</v>
      </c>
      <c r="D44" s="35">
        <f>SUMIFS(Tabela3[QUANTIDADE], Tabela3[PRODUTO], Tabela1[[#This Row],[PRODUTO]], Tabela3[STATUS], TRIM(UPPER("ENTREGUE")))</f>
        <v>2</v>
      </c>
      <c r="E44" s="53">
        <f>AVERAGEIFS(
  Tabela3[CUSTO UNITÁRIO],
  Tabela3[PRODUTO], Tabela1[[#This Row],[PRODUTO]],
  Tabela3[STATUS], "ENTREGUE"
)</f>
        <v>35</v>
      </c>
      <c r="F44" s="53">
        <f ca="1">IFERROR(
  AVERAGEIFS(
    Tabela3[CUSTO UNITÁRIO],
    Tabela3[PRODUTO], Tabela1[[#This Row],[PRODUTO]],
    Tabela3[STATUS], "ENTREGUE",
    Tabela3[DATA], "&gt;="&amp;TODAY()-30
  ) * 2.5,
"")</f>
        <v>87.5</v>
      </c>
      <c r="G44" s="35">
        <f>SUMIF(Tabela2[PRODUTO],Tabela1[[#This Row],[PRODUTO]],Tabela2[QTD])</f>
        <v>0</v>
      </c>
    </row>
    <row r="45" spans="2:7" ht="30" customHeight="1">
      <c r="B45" s="45" t="s">
        <v>50</v>
      </c>
      <c r="C45" s="27">
        <f t="shared" si="1"/>
        <v>2</v>
      </c>
      <c r="D45" s="35">
        <f>SUMIFS(Tabela3[QUANTIDADE], Tabela3[PRODUTO], Tabela1[[#This Row],[PRODUTO]], Tabela3[STATUS], TRIM(UPPER("ENTREGUE")))</f>
        <v>2</v>
      </c>
      <c r="E45" s="53">
        <f>AVERAGEIFS(
  Tabela3[CUSTO UNITÁRIO],
  Tabela3[PRODUTO], Tabela1[[#This Row],[PRODUTO]],
  Tabela3[STATUS], "ENTREGUE"
)</f>
        <v>50</v>
      </c>
      <c r="F45" s="53">
        <f ca="1">IFERROR(
  AVERAGEIFS(
    Tabela3[CUSTO UNITÁRIO],
    Tabela3[PRODUTO], Tabela1[[#This Row],[PRODUTO]],
    Tabela3[STATUS], "ENTREGUE",
    Tabela3[DATA], "&gt;="&amp;TODAY()-30
  ) * 2.5,
"")</f>
        <v>125</v>
      </c>
      <c r="G45" s="35">
        <f>SUMIF(Tabela2[PRODUTO],Tabela1[[#This Row],[PRODUTO]],Tabela2[QTD])</f>
        <v>0</v>
      </c>
    </row>
    <row r="46" spans="2:7" ht="30" customHeight="1">
      <c r="B46" s="45" t="s">
        <v>51</v>
      </c>
      <c r="C46" s="27">
        <f t="shared" si="1"/>
        <v>2</v>
      </c>
      <c r="D46" s="35">
        <f>SUMIFS(Tabela3[QUANTIDADE], Tabela3[PRODUTO], Tabela1[[#This Row],[PRODUTO]], Tabela3[STATUS], TRIM(UPPER("ENTREGUE")))</f>
        <v>2</v>
      </c>
      <c r="E46" s="53">
        <f>AVERAGEIFS(
  Tabela3[CUSTO UNITÁRIO],
  Tabela3[PRODUTO], Tabela1[[#This Row],[PRODUTO]],
  Tabela3[STATUS], "ENTREGUE"
)</f>
        <v>50</v>
      </c>
      <c r="F46" s="53">
        <f ca="1">IFERROR(
  AVERAGEIFS(
    Tabela3[CUSTO UNITÁRIO],
    Tabela3[PRODUTO], Tabela1[[#This Row],[PRODUTO]],
    Tabela3[STATUS], "ENTREGUE",
    Tabela3[DATA], "&gt;="&amp;TODAY()-30
  ) * 2.5,
"")</f>
        <v>125</v>
      </c>
      <c r="G46" s="35">
        <f>SUMIF(Tabela2[PRODUTO],Tabela1[[#This Row],[PRODUTO]],Tabela2[QTD])</f>
        <v>0</v>
      </c>
    </row>
    <row r="47" spans="2:7" ht="30" customHeight="1">
      <c r="B47" s="45" t="s">
        <v>52</v>
      </c>
      <c r="C47" s="27">
        <f t="shared" si="1"/>
        <v>2</v>
      </c>
      <c r="D47" s="35">
        <f>SUMIFS(Tabela3[QUANTIDADE], Tabela3[PRODUTO], Tabela1[[#This Row],[PRODUTO]], Tabela3[STATUS], TRIM(UPPER("ENTREGUE")))</f>
        <v>2</v>
      </c>
      <c r="E47" s="53">
        <f>AVERAGEIFS(
  Tabela3[CUSTO UNITÁRIO],
  Tabela3[PRODUTO], Tabela1[[#This Row],[PRODUTO]],
  Tabela3[STATUS], "ENTREGUE"
)</f>
        <v>17.600000000000001</v>
      </c>
      <c r="F47" s="53">
        <f ca="1">IFERROR(
  AVERAGEIFS(
    Tabela3[CUSTO UNITÁRIO],
    Tabela3[PRODUTO], Tabela1[[#This Row],[PRODUTO]],
    Tabela3[STATUS], "ENTREGUE",
    Tabela3[DATA], "&gt;="&amp;TODAY()-30
  ) * 2.5,
"")</f>
        <v>44</v>
      </c>
      <c r="G47" s="35">
        <f>SUMIF(Tabela2[PRODUTO],Tabela1[[#This Row],[PRODUTO]],Tabela2[QTD])</f>
        <v>0</v>
      </c>
    </row>
    <row r="48" spans="2:7" ht="30" customHeight="1">
      <c r="B48" s="46" t="s">
        <v>53</v>
      </c>
      <c r="C48" s="27">
        <f t="shared" si="1"/>
        <v>3</v>
      </c>
      <c r="D48" s="35">
        <f>SUMIFS(Tabela3[QUANTIDADE], Tabela3[PRODUTO], Tabela1[[#This Row],[PRODUTO]], Tabela3[STATUS], TRIM(UPPER("ENTREGUE")))</f>
        <v>3</v>
      </c>
      <c r="E48" s="53">
        <f>AVERAGEIFS(
  Tabela3[CUSTO UNITÁRIO],
  Tabela3[PRODUTO], Tabela1[[#This Row],[PRODUTO]],
  Tabela3[STATUS], "ENTREGUE"
)</f>
        <v>55.656666666666666</v>
      </c>
      <c r="F48" s="53">
        <f ca="1">IFERROR(
  AVERAGEIFS(
    Tabela3[CUSTO UNITÁRIO],
    Tabela3[PRODUTO], Tabela1[[#This Row],[PRODUTO]],
    Tabela3[STATUS], "ENTREGUE",
    Tabela3[DATA], "&gt;="&amp;TODAY()-30
  ) * 2.5,
"")</f>
        <v>139.14166666666665</v>
      </c>
      <c r="G48" s="35">
        <f>SUMIF(Tabela2[PRODUTO],Tabela1[[#This Row],[PRODUTO]],Tabela2[QTD])</f>
        <v>0</v>
      </c>
    </row>
    <row r="49" spans="2:7" ht="30" customHeight="1">
      <c r="B49" s="45" t="s">
        <v>54</v>
      </c>
      <c r="C49" s="27">
        <f t="shared" si="1"/>
        <v>2</v>
      </c>
      <c r="D49" s="35">
        <f>SUMIFS(Tabela3[QUANTIDADE], Tabela3[PRODUTO], Tabela1[[#This Row],[PRODUTO]], Tabela3[STATUS], TRIM(UPPER("ENTREGUE")))</f>
        <v>2</v>
      </c>
      <c r="E49" s="53">
        <f>AVERAGEIFS(
  Tabela3[CUSTO UNITÁRIO],
  Tabela3[PRODUTO], Tabela1[[#This Row],[PRODUTO]],
  Tabela3[STATUS], "ENTREGUE"
)</f>
        <v>20.305</v>
      </c>
      <c r="F49" s="53">
        <f ca="1">IFERROR(
  AVERAGEIFS(
    Tabela3[CUSTO UNITÁRIO],
    Tabela3[PRODUTO], Tabela1[[#This Row],[PRODUTO]],
    Tabela3[STATUS], "ENTREGUE",
    Tabela3[DATA], "&gt;="&amp;TODAY()-30
  ) * 2.5,
"")</f>
        <v>50.762500000000003</v>
      </c>
      <c r="G49" s="35">
        <f>SUMIF(Tabela2[PRODUTO],Tabela1[[#This Row],[PRODUTO]],Tabela2[QTD])</f>
        <v>0</v>
      </c>
    </row>
    <row r="50" spans="2:7" ht="30" customHeight="1">
      <c r="B50" s="45" t="s">
        <v>55</v>
      </c>
      <c r="C50" s="27">
        <f t="shared" si="1"/>
        <v>2</v>
      </c>
      <c r="D50" s="35">
        <f>SUMIFS(Tabela3[QUANTIDADE], Tabela3[PRODUTO], Tabela1[[#This Row],[PRODUTO]], Tabela3[STATUS], TRIM(UPPER("ENTREGUE")))</f>
        <v>2</v>
      </c>
      <c r="E50" s="53">
        <f>AVERAGEIFS(
  Tabela3[CUSTO UNITÁRIO],
  Tabela3[PRODUTO], Tabela1[[#This Row],[PRODUTO]],
  Tabela3[STATUS], "ENTREGUE"
)</f>
        <v>20.295000000000002</v>
      </c>
      <c r="F50" s="53">
        <f ca="1">IFERROR(
  AVERAGEIFS(
    Tabela3[CUSTO UNITÁRIO],
    Tabela3[PRODUTO], Tabela1[[#This Row],[PRODUTO]],
    Tabela3[STATUS], "ENTREGUE",
    Tabela3[DATA], "&gt;="&amp;TODAY()-30
  ) * 2.5,
"")</f>
        <v>50.737500000000004</v>
      </c>
      <c r="G50" s="35">
        <f>SUMIF(Tabela2[PRODUTO],Tabela1[[#This Row],[PRODUTO]],Tabela2[QTD])</f>
        <v>0</v>
      </c>
    </row>
    <row r="51" spans="2:7" ht="30" customHeight="1">
      <c r="B51" s="45" t="s">
        <v>56</v>
      </c>
      <c r="C51" s="27">
        <f t="shared" si="1"/>
        <v>2</v>
      </c>
      <c r="D51" s="35">
        <f>SUMIFS(Tabela3[QUANTIDADE], Tabela3[PRODUTO], Tabela1[[#This Row],[PRODUTO]], Tabela3[STATUS], TRIM(UPPER("ENTREGUE")))</f>
        <v>2</v>
      </c>
      <c r="E51" s="53">
        <f>AVERAGEIFS(
  Tabela3[CUSTO UNITÁRIO],
  Tabela3[PRODUTO], Tabela1[[#This Row],[PRODUTO]],
  Tabela3[STATUS], "ENTREGUE"
)</f>
        <v>20.14</v>
      </c>
      <c r="F51" s="53">
        <f ca="1">IFERROR(
  AVERAGEIFS(
    Tabela3[CUSTO UNITÁRIO],
    Tabela3[PRODUTO], Tabela1[[#This Row],[PRODUTO]],
    Tabela3[STATUS], "ENTREGUE",
    Tabela3[DATA], "&gt;="&amp;TODAY()-30
  ) * 2.5,
"")</f>
        <v>50.35</v>
      </c>
      <c r="G51" s="35">
        <f>SUMIF(Tabela2[PRODUTO],Tabela1[[#This Row],[PRODUTO]],Tabela2[QTD])</f>
        <v>0</v>
      </c>
    </row>
    <row r="52" spans="2:7" ht="30" customHeight="1">
      <c r="B52" s="45" t="s">
        <v>57</v>
      </c>
      <c r="C52" s="27">
        <f t="shared" si="1"/>
        <v>1</v>
      </c>
      <c r="D52" s="35">
        <f>SUMIFS(Tabela3[QUANTIDADE], Tabela3[PRODUTO], Tabela1[[#This Row],[PRODUTO]], Tabela3[STATUS], TRIM(UPPER("ENTREGUE")))</f>
        <v>1</v>
      </c>
      <c r="E52" s="53">
        <f>AVERAGEIFS(
  Tabela3[CUSTO UNITÁRIO],
  Tabela3[PRODUTO], Tabela1[[#This Row],[PRODUTO]],
  Tabela3[STATUS], "ENTREGUE"
)</f>
        <v>28</v>
      </c>
      <c r="F52" s="53">
        <f ca="1">IFERROR(
  AVERAGEIFS(
    Tabela3[CUSTO UNITÁRIO],
    Tabela3[PRODUTO], Tabela1[[#This Row],[PRODUTO]],
    Tabela3[STATUS], "ENTREGUE",
    Tabela3[DATA], "&gt;="&amp;TODAY()-30
  ) * 2.5,
"")</f>
        <v>70</v>
      </c>
      <c r="G52" s="35">
        <f>SUMIF(Tabela2[PRODUTO],Tabela1[[#This Row],[PRODUTO]],Tabela2[QTD])</f>
        <v>0</v>
      </c>
    </row>
    <row r="53" spans="2:7" ht="30" customHeight="1">
      <c r="B53" s="46" t="s">
        <v>58</v>
      </c>
      <c r="C53" s="27">
        <f t="shared" si="1"/>
        <v>1</v>
      </c>
      <c r="D53" s="35">
        <f>SUMIFS(Tabela3[QUANTIDADE], Tabela3[PRODUTO], Tabela1[[#This Row],[PRODUTO]], Tabela3[STATUS], TRIM(UPPER("ENTREGUE")))</f>
        <v>1</v>
      </c>
      <c r="E53" s="53">
        <f>AVERAGEIFS(
  Tabela3[CUSTO UNITÁRIO],
  Tabela3[PRODUTO], Tabela1[[#This Row],[PRODUTO]],
  Tabela3[STATUS], "ENTREGUE"
)</f>
        <v>20</v>
      </c>
      <c r="F53" s="53">
        <f ca="1">IFERROR(
  AVERAGEIFS(
    Tabela3[CUSTO UNITÁRIO],
    Tabela3[PRODUTO], Tabela1[[#This Row],[PRODUTO]],
    Tabela3[STATUS], "ENTREGUE",
    Tabela3[DATA], "&gt;="&amp;TODAY()-30
  ) * 2.5,
"")</f>
        <v>50</v>
      </c>
      <c r="G53" s="35">
        <f>SUMIF(Tabela2[PRODUTO],Tabela1[[#This Row],[PRODUTO]],Tabela2[QTD])</f>
        <v>0</v>
      </c>
    </row>
    <row r="54" spans="2:7" ht="30" customHeight="1">
      <c r="B54" s="52" t="s">
        <v>59</v>
      </c>
      <c r="C54" s="27">
        <f t="shared" si="1"/>
        <v>1</v>
      </c>
      <c r="D54" s="35">
        <f>SUMIFS(Tabela3[QUANTIDADE], Tabela3[PRODUTO], Tabela1[[#This Row],[PRODUTO]], Tabela3[STATUS], TRIM(UPPER("ENTREGUE")))</f>
        <v>1</v>
      </c>
      <c r="E54" s="53">
        <f>AVERAGEIFS(
  Tabela3[CUSTO UNITÁRIO],
  Tabela3[PRODUTO], Tabela1[[#This Row],[PRODUTO]],
  Tabela3[STATUS], "ENTREGUE"
)</f>
        <v>20</v>
      </c>
      <c r="F54" s="53">
        <f ca="1">IFERROR(
  AVERAGEIFS(
    Tabela3[CUSTO UNITÁRIO],
    Tabela3[PRODUTO], Tabela1[[#This Row],[PRODUTO]],
    Tabela3[STATUS], "ENTREGUE",
    Tabela3[DATA], "&gt;="&amp;TODAY()-30
  ) * 2.5,
"")</f>
        <v>50</v>
      </c>
      <c r="G54" s="35">
        <f>SUMIF(Tabela2[PRODUTO],Tabela1[[#This Row],[PRODUTO]],Tabela2[QTD])</f>
        <v>0</v>
      </c>
    </row>
    <row r="55" spans="2:7" ht="30" customHeight="1">
      <c r="B55" s="52" t="s">
        <v>60</v>
      </c>
      <c r="C55" s="27">
        <f t="shared" si="1"/>
        <v>1</v>
      </c>
      <c r="D55" s="35">
        <f>SUMIFS(Tabela3[QUANTIDADE], Tabela3[PRODUTO], Tabela1[[#This Row],[PRODUTO]], Tabela3[STATUS], TRIM(UPPER("ENTREGUE")))</f>
        <v>1</v>
      </c>
      <c r="E55" s="53">
        <f>AVERAGEIFS(
  Tabela3[CUSTO UNITÁRIO],
  Tabela3[PRODUTO], Tabela1[[#This Row],[PRODUTO]],
  Tabela3[STATUS], "ENTREGUE"
)</f>
        <v>20</v>
      </c>
      <c r="F55" s="53">
        <f ca="1">IFERROR(
  AVERAGEIFS(
    Tabela3[CUSTO UNITÁRIO],
    Tabela3[PRODUTO], Tabela1[[#This Row],[PRODUTO]],
    Tabela3[STATUS], "ENTREGUE",
    Tabela3[DATA], "&gt;="&amp;TODAY()-30
  ) * 2.5,
"")</f>
        <v>50</v>
      </c>
      <c r="G55" s="35">
        <f>SUMIF(Tabela2[PRODUTO],Tabela1[[#This Row],[PRODUTO]],Tabela2[QTD])</f>
        <v>0</v>
      </c>
    </row>
    <row r="56" spans="2:7" ht="30" customHeight="1">
      <c r="B56" s="52" t="s">
        <v>61</v>
      </c>
      <c r="C56" s="27">
        <f t="shared" si="1"/>
        <v>1</v>
      </c>
      <c r="D56" s="35">
        <f>SUMIFS(Tabela3[QUANTIDADE], Tabela3[PRODUTO], Tabela1[[#This Row],[PRODUTO]], Tabela3[STATUS], TRIM(UPPER("ENTREGUE")))</f>
        <v>1</v>
      </c>
      <c r="E56" s="53">
        <f>AVERAGEIFS(
  Tabela3[CUSTO UNITÁRIO],
  Tabela3[PRODUTO], Tabela1[[#This Row],[PRODUTO]],
  Tabela3[STATUS], "ENTREGUE"
)</f>
        <v>15</v>
      </c>
      <c r="F56" s="53">
        <f ca="1">IFERROR(
  AVERAGEIFS(
    Tabela3[CUSTO UNITÁRIO],
    Tabela3[PRODUTO], Tabela1[[#This Row],[PRODUTO]],
    Tabela3[STATUS], "ENTREGUE",
    Tabela3[DATA], "&gt;="&amp;TODAY()-30
  ) * 2.5,
"")</f>
        <v>37.5</v>
      </c>
      <c r="G56" s="35">
        <f>SUMIF(Tabela2[PRODUTO],Tabela1[[#This Row],[PRODUTO]],Tabela2[QTD])</f>
        <v>0</v>
      </c>
    </row>
    <row r="57" spans="2:7" ht="30" customHeight="1">
      <c r="B57" s="52" t="s">
        <v>62</v>
      </c>
      <c r="C57" s="27">
        <f t="shared" si="1"/>
        <v>1</v>
      </c>
      <c r="D57" s="35">
        <f>SUMIFS(Tabela3[QUANTIDADE], Tabela3[PRODUTO], Tabela1[[#This Row],[PRODUTO]], Tabela3[STATUS], TRIM(UPPER("ENTREGUE")))</f>
        <v>1</v>
      </c>
      <c r="E57" s="53">
        <f>AVERAGEIFS(
  Tabela3[CUSTO UNITÁRIO],
  Tabela3[PRODUTO], Tabela1[[#This Row],[PRODUTO]],
  Tabela3[STATUS], "ENTREGUE"
)</f>
        <v>20</v>
      </c>
      <c r="F57" s="53">
        <f ca="1">IFERROR(
  AVERAGEIFS(
    Tabela3[CUSTO UNITÁRIO],
    Tabela3[PRODUTO], Tabela1[[#This Row],[PRODUTO]],
    Tabela3[STATUS], "ENTREGUE",
    Tabela3[DATA], "&gt;="&amp;TODAY()-30
  ) * 2.5,
"")</f>
        <v>50</v>
      </c>
      <c r="G57" s="35">
        <f>SUMIF(Tabela2[PRODUTO],Tabela1[[#This Row],[PRODUTO]],Tabela2[QTD])</f>
        <v>0</v>
      </c>
    </row>
    <row r="58" spans="2:7" ht="30" customHeight="1">
      <c r="B58" s="52" t="s">
        <v>63</v>
      </c>
      <c r="C58" s="27">
        <f t="shared" si="1"/>
        <v>1</v>
      </c>
      <c r="D58" s="35">
        <f>SUMIFS(Tabela3[QUANTIDADE], Tabela3[PRODUTO], Tabela1[[#This Row],[PRODUTO]], Tabela3[STATUS], TRIM(UPPER("ENTREGUE")))</f>
        <v>1</v>
      </c>
      <c r="E58" s="53">
        <f>AVERAGEIFS(
  Tabela3[CUSTO UNITÁRIO],
  Tabela3[PRODUTO], Tabela1[[#This Row],[PRODUTO]],
  Tabela3[STATUS], "ENTREGUE"
)</f>
        <v>20</v>
      </c>
      <c r="F58" s="53">
        <f ca="1">IFERROR(
  AVERAGEIFS(
    Tabela3[CUSTO UNITÁRIO],
    Tabela3[PRODUTO], Tabela1[[#This Row],[PRODUTO]],
    Tabela3[STATUS], "ENTREGUE",
    Tabela3[DATA], "&gt;="&amp;TODAY()-30
  ) * 2.5,
"")</f>
        <v>50</v>
      </c>
      <c r="G58" s="35">
        <f>SUMIF(Tabela2[PRODUTO],Tabela1[[#This Row],[PRODUTO]],Tabela2[QTD])</f>
        <v>0</v>
      </c>
    </row>
    <row r="59" spans="2:7" ht="30" customHeight="1">
      <c r="B59" s="52" t="s">
        <v>64</v>
      </c>
      <c r="C59" s="27">
        <f t="shared" si="1"/>
        <v>1</v>
      </c>
      <c r="D59" s="35">
        <f>SUMIFS(Tabela3[QUANTIDADE], Tabela3[PRODUTO], Tabela1[[#This Row],[PRODUTO]], Tabela3[STATUS], TRIM(UPPER("ENTREGUE")))</f>
        <v>1</v>
      </c>
      <c r="E59" s="53">
        <f>AVERAGEIFS(
  Tabela3[CUSTO UNITÁRIO],
  Tabela3[PRODUTO], Tabela1[[#This Row],[PRODUTO]],
  Tabela3[STATUS], "ENTREGUE"
)</f>
        <v>15</v>
      </c>
      <c r="F59" s="53">
        <f ca="1">IFERROR(
  AVERAGEIFS(
    Tabela3[CUSTO UNITÁRIO],
    Tabela3[PRODUTO], Tabela1[[#This Row],[PRODUTO]],
    Tabela3[STATUS], "ENTREGUE",
    Tabela3[DATA], "&gt;="&amp;TODAY()-30
  ) * 2.5,
"")</f>
        <v>37.5</v>
      </c>
      <c r="G59" s="35">
        <f>SUMIF(Tabela2[PRODUTO],Tabela1[[#This Row],[PRODUTO]],Tabela2[QTD])</f>
        <v>0</v>
      </c>
    </row>
    <row r="60" spans="2:7" ht="30" customHeight="1">
      <c r="B60" s="52" t="s">
        <v>65</v>
      </c>
      <c r="C60" s="27">
        <f t="shared" si="1"/>
        <v>1</v>
      </c>
      <c r="D60" s="35">
        <f>SUMIFS(Tabela3[QUANTIDADE], Tabela3[PRODUTO], Tabela1[[#This Row],[PRODUTO]], Tabela3[STATUS], TRIM(UPPER("ENTREGUE")))</f>
        <v>1</v>
      </c>
      <c r="E60" s="53">
        <f>AVERAGEIFS(
  Tabela3[CUSTO UNITÁRIO],
  Tabela3[PRODUTO], Tabela1[[#This Row],[PRODUTO]],
  Tabela3[STATUS], "ENTREGUE"
)</f>
        <v>15</v>
      </c>
      <c r="F60" s="53">
        <f ca="1">IFERROR(
  AVERAGEIFS(
    Tabela3[CUSTO UNITÁRIO],
    Tabela3[PRODUTO], Tabela1[[#This Row],[PRODUTO]],
    Tabela3[STATUS], "ENTREGUE",
    Tabela3[DATA], "&gt;="&amp;TODAY()-30
  ) * 2.5,
"")</f>
        <v>37.5</v>
      </c>
      <c r="G60" s="35">
        <f>SUMIF(Tabela2[PRODUTO],Tabela1[[#This Row],[PRODUTO]],Tabela2[QTD])</f>
        <v>0</v>
      </c>
    </row>
    <row r="61" spans="2:7" ht="30" customHeight="1">
      <c r="B61" s="52" t="s">
        <v>66</v>
      </c>
      <c r="C61" s="27">
        <f t="shared" si="1"/>
        <v>1</v>
      </c>
      <c r="D61" s="35">
        <f>SUMIFS(Tabela3[QUANTIDADE], Tabela3[PRODUTO], Tabela1[[#This Row],[PRODUTO]], Tabela3[STATUS], TRIM(UPPER("ENTREGUE")))</f>
        <v>1</v>
      </c>
      <c r="E61" s="53">
        <f>AVERAGEIFS(
  Tabela3[CUSTO UNITÁRIO],
  Tabela3[PRODUTO], Tabela1[[#This Row],[PRODUTO]],
  Tabela3[STATUS], "ENTREGUE"
)</f>
        <v>20</v>
      </c>
      <c r="F61" s="53">
        <f ca="1">IFERROR(
  AVERAGEIFS(
    Tabela3[CUSTO UNITÁRIO],
    Tabela3[PRODUTO], Tabela1[[#This Row],[PRODUTO]],
    Tabela3[STATUS], "ENTREGUE",
    Tabela3[DATA], "&gt;="&amp;TODAY()-30
  ) * 2.5,
"")</f>
        <v>50</v>
      </c>
      <c r="G61" s="35">
        <f>SUMIF(Tabela2[PRODUTO],Tabela1[[#This Row],[PRODUTO]],Tabela2[QTD])</f>
        <v>0</v>
      </c>
    </row>
    <row r="62" spans="2:7" ht="30" customHeight="1">
      <c r="B62" s="52" t="s">
        <v>67</v>
      </c>
      <c r="C62" s="27">
        <f t="shared" si="1"/>
        <v>1</v>
      </c>
      <c r="D62" s="35">
        <f>SUMIFS(Tabela3[QUANTIDADE], Tabela3[PRODUTO], Tabela1[[#This Row],[PRODUTO]], Tabela3[STATUS], TRIM(UPPER("ENTREGUE")))</f>
        <v>1</v>
      </c>
      <c r="E62" s="53">
        <f>AVERAGEIFS(
  Tabela3[CUSTO UNITÁRIO],
  Tabela3[PRODUTO], Tabela1[[#This Row],[PRODUTO]],
  Tabela3[STATUS], "ENTREGUE"
)</f>
        <v>40</v>
      </c>
      <c r="F62" s="53">
        <f ca="1">IFERROR(
  AVERAGEIFS(
    Tabela3[CUSTO UNITÁRIO],
    Tabela3[PRODUTO], Tabela1[[#This Row],[PRODUTO]],
    Tabela3[STATUS], "ENTREGUE",
    Tabela3[DATA], "&gt;="&amp;TODAY()-30
  ) * 2.5,
"")</f>
        <v>100</v>
      </c>
      <c r="G62" s="35">
        <f>SUMIF(Tabela2[PRODUTO],Tabela1[[#This Row],[PRODUTO]],Tabela2[QTD])</f>
        <v>0</v>
      </c>
    </row>
    <row r="63" spans="2:7" ht="30" customHeight="1">
      <c r="B63" s="52" t="s">
        <v>68</v>
      </c>
      <c r="C63" s="27">
        <f t="shared" si="1"/>
        <v>1</v>
      </c>
      <c r="D63" s="35">
        <f>SUMIFS(Tabela3[QUANTIDADE], Tabela3[PRODUTO], Tabela1[[#This Row],[PRODUTO]], Tabela3[STATUS], TRIM(UPPER("ENTREGUE")))</f>
        <v>1</v>
      </c>
      <c r="E63" s="53">
        <f>AVERAGEIFS(
  Tabela3[CUSTO UNITÁRIO],
  Tabela3[PRODUTO], Tabela1[[#This Row],[PRODUTO]],
  Tabela3[STATUS], "ENTREGUE"
)</f>
        <v>20</v>
      </c>
      <c r="F63" s="53">
        <f ca="1">IFERROR(
  AVERAGEIFS(
    Tabela3[CUSTO UNITÁRIO],
    Tabela3[PRODUTO], Tabela1[[#This Row],[PRODUTO]],
    Tabela3[STATUS], "ENTREGUE",
    Tabela3[DATA], "&gt;="&amp;TODAY()-30
  ) * 2.5,
"")</f>
        <v>50</v>
      </c>
      <c r="G63" s="35">
        <f>SUMIF(Tabela2[PRODUTO],Tabela1[[#This Row],[PRODUTO]],Tabela2[QTD])</f>
        <v>0</v>
      </c>
    </row>
    <row r="64" spans="2:7" ht="30" customHeight="1">
      <c r="B64" s="52" t="s">
        <v>69</v>
      </c>
      <c r="C64" s="27">
        <f t="shared" si="1"/>
        <v>1</v>
      </c>
      <c r="D64" s="35">
        <f>SUMIFS(Tabela3[QUANTIDADE], Tabela3[PRODUTO], Tabela1[[#This Row],[PRODUTO]], Tabela3[STATUS], TRIM(UPPER("ENTREGUE")))</f>
        <v>1</v>
      </c>
      <c r="E64" s="53">
        <f>AVERAGEIFS(
  Tabela3[CUSTO UNITÁRIO],
  Tabela3[PRODUTO], Tabela1[[#This Row],[PRODUTO]],
  Tabela3[STATUS], "ENTREGUE"
)</f>
        <v>50</v>
      </c>
      <c r="F64" s="53">
        <f ca="1">IFERROR(
  AVERAGEIFS(
    Tabela3[CUSTO UNITÁRIO],
    Tabela3[PRODUTO], Tabela1[[#This Row],[PRODUTO]],
    Tabela3[STATUS], "ENTREGUE",
    Tabela3[DATA], "&gt;="&amp;TODAY()-30
  ) * 2.5,
"")</f>
        <v>125</v>
      </c>
      <c r="G64" s="35">
        <f>SUMIF(Tabela2[PRODUTO],Tabela1[[#This Row],[PRODUTO]],Tabela2[QTD])</f>
        <v>0</v>
      </c>
    </row>
    <row r="65" spans="2:7" ht="30" customHeight="1">
      <c r="B65" s="52" t="s">
        <v>70</v>
      </c>
      <c r="C65" s="27">
        <f t="shared" si="1"/>
        <v>1</v>
      </c>
      <c r="D65" s="35">
        <f>SUMIFS(Tabela3[QUANTIDADE], Tabela3[PRODUTO], Tabela1[[#This Row],[PRODUTO]], Tabela3[STATUS], TRIM(UPPER("ENTREGUE")))</f>
        <v>1</v>
      </c>
      <c r="E65" s="53">
        <f>AVERAGEIFS(
  Tabela3[CUSTO UNITÁRIO],
  Tabela3[PRODUTO], Tabela1[[#This Row],[PRODUTO]],
  Tabela3[STATUS], "ENTREGUE"
)</f>
        <v>50</v>
      </c>
      <c r="F65" s="53">
        <f ca="1">IFERROR(
  AVERAGEIFS(
    Tabela3[CUSTO UNITÁRIO],
    Tabela3[PRODUTO], Tabela1[[#This Row],[PRODUTO]],
    Tabela3[STATUS], "ENTREGUE",
    Tabela3[DATA], "&gt;="&amp;TODAY()-30
  ) * 2.5,
"")</f>
        <v>125</v>
      </c>
      <c r="G65" s="35">
        <f>SUMIF(Tabela2[PRODUTO],Tabela1[[#This Row],[PRODUTO]],Tabela2[QTD])</f>
        <v>0</v>
      </c>
    </row>
    <row r="66" spans="2:7" ht="30" customHeight="1">
      <c r="B66" s="52" t="s">
        <v>71</v>
      </c>
      <c r="C66" s="27">
        <f t="shared" si="1"/>
        <v>1</v>
      </c>
      <c r="D66" s="35">
        <f>SUMIFS(Tabela3[QUANTIDADE], Tabela3[PRODUTO], Tabela1[[#This Row],[PRODUTO]], Tabela3[STATUS], TRIM(UPPER("ENTREGUE")))</f>
        <v>1</v>
      </c>
      <c r="E66" s="53">
        <f>AVERAGEIFS(
  Tabela3[CUSTO UNITÁRIO],
  Tabela3[PRODUTO], Tabela1[[#This Row],[PRODUTO]],
  Tabela3[STATUS], "ENTREGUE"
)</f>
        <v>50</v>
      </c>
      <c r="F66" s="53">
        <f ca="1">IFERROR(
  AVERAGEIFS(
    Tabela3[CUSTO UNITÁRIO],
    Tabela3[PRODUTO], Tabela1[[#This Row],[PRODUTO]],
    Tabela3[STATUS], "ENTREGUE",
    Tabela3[DATA], "&gt;="&amp;TODAY()-30
  ) * 2.5,
"")</f>
        <v>125</v>
      </c>
      <c r="G66" s="35">
        <f>SUMIF(Tabela2[PRODUTO],Tabela1[[#This Row],[PRODUTO]],Tabela2[QTD])</f>
        <v>0</v>
      </c>
    </row>
    <row r="67" spans="2:7" ht="30" customHeight="1">
      <c r="B67" s="52" t="s">
        <v>72</v>
      </c>
      <c r="C67" s="27">
        <f t="shared" si="1"/>
        <v>1</v>
      </c>
      <c r="D67" s="35">
        <f>SUMIFS(Tabela3[QUANTIDADE], Tabela3[PRODUTO], Tabela1[[#This Row],[PRODUTO]], Tabela3[STATUS], TRIM(UPPER("ENTREGUE")))</f>
        <v>1</v>
      </c>
      <c r="E67" s="53">
        <f>AVERAGEIFS(
  Tabela3[CUSTO UNITÁRIO],
  Tabela3[PRODUTO], Tabela1[[#This Row],[PRODUTO]],
  Tabela3[STATUS], "ENTREGUE"
)</f>
        <v>50</v>
      </c>
      <c r="F67" s="53">
        <f ca="1">IFERROR(
  AVERAGEIFS(
    Tabela3[CUSTO UNITÁRIO],
    Tabela3[PRODUTO], Tabela1[[#This Row],[PRODUTO]],
    Tabela3[STATUS], "ENTREGUE",
    Tabela3[DATA], "&gt;="&amp;TODAY()-30
  ) * 2.5,
"")</f>
        <v>125</v>
      </c>
      <c r="G67" s="35">
        <f>SUMIF(Tabela2[PRODUTO],Tabela1[[#This Row],[PRODUTO]],Tabela2[QTD])</f>
        <v>0</v>
      </c>
    </row>
    <row r="68" spans="2:7" ht="30" customHeight="1">
      <c r="B68" s="52" t="s">
        <v>73</v>
      </c>
      <c r="C68" s="27">
        <f t="shared" ref="C68:C95" si="2">D68-G68</f>
        <v>1</v>
      </c>
      <c r="D68" s="35">
        <f>SUMIFS(Tabela3[QUANTIDADE], Tabela3[PRODUTO], Tabela1[[#This Row],[PRODUTO]], Tabela3[STATUS], TRIM(UPPER("ENTREGUE")))</f>
        <v>1</v>
      </c>
      <c r="E68" s="53">
        <f>AVERAGEIFS(
  Tabela3[CUSTO UNITÁRIO],
  Tabela3[PRODUTO], Tabela1[[#This Row],[PRODUTO]],
  Tabela3[STATUS], "ENTREGUE"
)</f>
        <v>50</v>
      </c>
      <c r="F68" s="53">
        <f ca="1">IFERROR(
  AVERAGEIFS(
    Tabela3[CUSTO UNITÁRIO],
    Tabela3[PRODUTO], Tabela1[[#This Row],[PRODUTO]],
    Tabela3[STATUS], "ENTREGUE",
    Tabela3[DATA], "&gt;="&amp;TODAY()-30
  ) * 2.5,
"")</f>
        <v>125</v>
      </c>
      <c r="G68" s="35">
        <f>SUMIF(Tabela2[PRODUTO],Tabela1[[#This Row],[PRODUTO]],Tabela2[QTD])</f>
        <v>0</v>
      </c>
    </row>
    <row r="69" spans="2:7" ht="30" customHeight="1">
      <c r="B69" s="52" t="s">
        <v>74</v>
      </c>
      <c r="C69" s="27">
        <f t="shared" si="2"/>
        <v>1</v>
      </c>
      <c r="D69" s="35">
        <f>SUMIFS(Tabela3[QUANTIDADE], Tabela3[PRODUTO], Tabela1[[#This Row],[PRODUTO]], Tabela3[STATUS], TRIM(UPPER("ENTREGUE")))</f>
        <v>1</v>
      </c>
      <c r="E69" s="53">
        <f>AVERAGEIFS(
  Tabela3[CUSTO UNITÁRIO],
  Tabela3[PRODUTO], Tabela1[[#This Row],[PRODUTO]],
  Tabela3[STATUS], "ENTREGUE"
)</f>
        <v>50</v>
      </c>
      <c r="F69" s="53">
        <f ca="1">IFERROR(
  AVERAGEIFS(
    Tabela3[CUSTO UNITÁRIO],
    Tabela3[PRODUTO], Tabela1[[#This Row],[PRODUTO]],
    Tabela3[STATUS], "ENTREGUE",
    Tabela3[DATA], "&gt;="&amp;TODAY()-30
  ) * 2.5,
"")</f>
        <v>125</v>
      </c>
      <c r="G69" s="35">
        <f>SUMIF(Tabela2[PRODUTO],Tabela1[[#This Row],[PRODUTO]],Tabela2[QTD])</f>
        <v>0</v>
      </c>
    </row>
    <row r="70" spans="2:7" ht="30" customHeight="1">
      <c r="B70" s="52" t="s">
        <v>75</v>
      </c>
      <c r="C70" s="27">
        <f t="shared" si="2"/>
        <v>1</v>
      </c>
      <c r="D70" s="35">
        <f>SUMIFS(Tabela3[QUANTIDADE], Tabela3[PRODUTO], Tabela1[[#This Row],[PRODUTO]], Tabela3[STATUS], TRIM(UPPER("ENTREGUE")))</f>
        <v>1</v>
      </c>
      <c r="E70" s="53">
        <f>AVERAGEIFS(
  Tabela3[CUSTO UNITÁRIO],
  Tabela3[PRODUTO], Tabela1[[#This Row],[PRODUTO]],
  Tabela3[STATUS], "ENTREGUE"
)</f>
        <v>50</v>
      </c>
      <c r="F70" s="53">
        <f ca="1">IFERROR(
  AVERAGEIFS(
    Tabela3[CUSTO UNITÁRIO],
    Tabela3[PRODUTO], Tabela1[[#This Row],[PRODUTO]],
    Tabela3[STATUS], "ENTREGUE",
    Tabela3[DATA], "&gt;="&amp;TODAY()-30
  ) * 2.5,
"")</f>
        <v>125</v>
      </c>
      <c r="G70" s="35">
        <f>SUMIF(Tabela2[PRODUTO],Tabela1[[#This Row],[PRODUTO]],Tabela2[QTD])</f>
        <v>0</v>
      </c>
    </row>
    <row r="71" spans="2:7" ht="30" customHeight="1">
      <c r="B71" s="52" t="s">
        <v>76</v>
      </c>
      <c r="C71" s="27">
        <f t="shared" si="2"/>
        <v>1</v>
      </c>
      <c r="D71" s="35">
        <f>SUMIFS(Tabela3[QUANTIDADE], Tabela3[PRODUTO], Tabela1[[#This Row],[PRODUTO]], Tabela3[STATUS], TRIM(UPPER("ENTREGUE")))</f>
        <v>1</v>
      </c>
      <c r="E71" s="53">
        <f>AVERAGEIFS(
  Tabela3[CUSTO UNITÁRIO],
  Tabela3[PRODUTO], Tabela1[[#This Row],[PRODUTO]],
  Tabela3[STATUS], "ENTREGUE"
)</f>
        <v>50</v>
      </c>
      <c r="F71" s="53">
        <f ca="1">IFERROR(
  AVERAGEIFS(
    Tabela3[CUSTO UNITÁRIO],
    Tabela3[PRODUTO], Tabela1[[#This Row],[PRODUTO]],
    Tabela3[STATUS], "ENTREGUE",
    Tabela3[DATA], "&gt;="&amp;TODAY()-30
  ) * 2.5,
"")</f>
        <v>125</v>
      </c>
      <c r="G71" s="35">
        <f>SUMIF(Tabela2[PRODUTO],Tabela1[[#This Row],[PRODUTO]],Tabela2[QTD])</f>
        <v>0</v>
      </c>
    </row>
    <row r="72" spans="2:7" ht="30" customHeight="1">
      <c r="B72" s="52" t="s">
        <v>77</v>
      </c>
      <c r="C72" s="27">
        <f t="shared" si="2"/>
        <v>1</v>
      </c>
      <c r="D72" s="35">
        <f>SUMIFS(Tabela3[QUANTIDADE], Tabela3[PRODUTO], Tabela1[[#This Row],[PRODUTO]], Tabela3[STATUS], TRIM(UPPER("ENTREGUE")))</f>
        <v>1</v>
      </c>
      <c r="E72" s="53">
        <f>AVERAGEIFS(
  Tabela3[CUSTO UNITÁRIO],
  Tabela3[PRODUTO], Tabela1[[#This Row],[PRODUTO]],
  Tabela3[STATUS], "ENTREGUE"
)</f>
        <v>50</v>
      </c>
      <c r="F72" s="53">
        <f ca="1">IFERROR(
  AVERAGEIFS(
    Tabela3[CUSTO UNITÁRIO],
    Tabela3[PRODUTO], Tabela1[[#This Row],[PRODUTO]],
    Tabela3[STATUS], "ENTREGUE",
    Tabela3[DATA], "&gt;="&amp;TODAY()-30
  ) * 2.5,
"")</f>
        <v>125</v>
      </c>
      <c r="G72" s="35">
        <f>SUMIF(Tabela2[PRODUTO],Tabela1[[#This Row],[PRODUTO]],Tabela2[QTD])</f>
        <v>0</v>
      </c>
    </row>
    <row r="73" spans="2:7" ht="30" customHeight="1">
      <c r="B73" s="52" t="s">
        <v>78</v>
      </c>
      <c r="C73" s="27">
        <f t="shared" si="2"/>
        <v>1</v>
      </c>
      <c r="D73" s="35">
        <f>SUMIFS(Tabela3[QUANTIDADE], Tabela3[PRODUTO], Tabela1[[#This Row],[PRODUTO]], Tabela3[STATUS], TRIM(UPPER("ENTREGUE")))</f>
        <v>1</v>
      </c>
      <c r="E73" s="53">
        <f>AVERAGEIFS(
  Tabela3[CUSTO UNITÁRIO],
  Tabela3[PRODUTO], Tabela1[[#This Row],[PRODUTO]],
  Tabela3[STATUS], "ENTREGUE"
)</f>
        <v>35</v>
      </c>
      <c r="F73" s="53">
        <f ca="1">IFERROR(
  AVERAGEIFS(
    Tabela3[CUSTO UNITÁRIO],
    Tabela3[PRODUTO], Tabela1[[#This Row],[PRODUTO]],
    Tabela3[STATUS], "ENTREGUE",
    Tabela3[DATA], "&gt;="&amp;TODAY()-30
  ) * 2.5,
"")</f>
        <v>87.5</v>
      </c>
      <c r="G73" s="35">
        <f>SUMIF(Tabela2[PRODUTO],Tabela1[[#This Row],[PRODUTO]],Tabela2[QTD])</f>
        <v>0</v>
      </c>
    </row>
    <row r="74" spans="2:7" ht="30" customHeight="1">
      <c r="B74" s="52" t="s">
        <v>79</v>
      </c>
      <c r="C74" s="27">
        <f t="shared" si="2"/>
        <v>1</v>
      </c>
      <c r="D74" s="35">
        <f>SUMIFS(Tabela3[QUANTIDADE], Tabela3[PRODUTO], Tabela1[[#This Row],[PRODUTO]], Tabela3[STATUS], TRIM(UPPER("ENTREGUE")))</f>
        <v>2</v>
      </c>
      <c r="E74" s="53">
        <f>AVERAGEIFS(
  Tabela3[CUSTO UNITÁRIO],
  Tabela3[PRODUTO], Tabela1[[#This Row],[PRODUTO]],
  Tabela3[STATUS], "ENTREGUE"
)</f>
        <v>15.344999999999999</v>
      </c>
      <c r="F74" s="53">
        <f ca="1">IFERROR(
  AVERAGEIFS(
    Tabela3[CUSTO UNITÁRIO],
    Tabela3[PRODUTO], Tabela1[[#This Row],[PRODUTO]],
    Tabela3[STATUS], "ENTREGUE",
    Tabela3[DATA], "&gt;="&amp;TODAY()-30
  ) * 2.5,
"")</f>
        <v>38.362499999999997</v>
      </c>
      <c r="G74" s="35">
        <f>SUMIF(Tabela2[PRODUTO],Tabela1[[#This Row],[PRODUTO]],Tabela2[QTD])</f>
        <v>1</v>
      </c>
    </row>
    <row r="75" spans="2:7" ht="30" customHeight="1">
      <c r="B75" s="52" t="s">
        <v>80</v>
      </c>
      <c r="C75" s="27">
        <f t="shared" si="2"/>
        <v>1</v>
      </c>
      <c r="D75" s="35">
        <f>SUMIFS(Tabela3[QUANTIDADE], Tabela3[PRODUTO], Tabela1[[#This Row],[PRODUTO]], Tabela3[STATUS], TRIM(UPPER("ENTREGUE")))</f>
        <v>1</v>
      </c>
      <c r="E75" s="53">
        <f>AVERAGEIFS(
  Tabela3[CUSTO UNITÁRIO],
  Tabela3[PRODUTO], Tabela1[[#This Row],[PRODUTO]],
  Tabela3[STATUS], "ENTREGUE"
)</f>
        <v>32.840000000000003</v>
      </c>
      <c r="F75" s="53">
        <f ca="1">IFERROR(
  AVERAGEIFS(
    Tabela3[CUSTO UNITÁRIO],
    Tabela3[PRODUTO], Tabela1[[#This Row],[PRODUTO]],
    Tabela3[STATUS], "ENTREGUE",
    Tabela3[DATA], "&gt;="&amp;TODAY()-30
  ) * 2.5,
"")</f>
        <v>82.100000000000009</v>
      </c>
      <c r="G75" s="35">
        <f>SUMIF(Tabela2[PRODUTO],Tabela1[[#This Row],[PRODUTO]],Tabela2[QTD])</f>
        <v>0</v>
      </c>
    </row>
    <row r="76" spans="2:7" ht="30" customHeight="1">
      <c r="B76" s="52" t="s">
        <v>81</v>
      </c>
      <c r="C76" s="27">
        <f t="shared" si="2"/>
        <v>1</v>
      </c>
      <c r="D76" s="35">
        <f>SUMIFS(Tabela3[QUANTIDADE], Tabela3[PRODUTO], Tabela1[[#This Row],[PRODUTO]], Tabela3[STATUS], TRIM(UPPER("ENTREGUE")))</f>
        <v>1</v>
      </c>
      <c r="E76" s="53">
        <f>AVERAGEIFS(
  Tabela3[CUSTO UNITÁRIO],
  Tabela3[PRODUTO], Tabela1[[#This Row],[PRODUTO]],
  Tabela3[STATUS], "ENTREGUE"
)</f>
        <v>20.239999999999998</v>
      </c>
      <c r="F76" s="53">
        <f ca="1">IFERROR(
  AVERAGEIFS(
    Tabela3[CUSTO UNITÁRIO],
    Tabela3[PRODUTO], Tabela1[[#This Row],[PRODUTO]],
    Tabela3[STATUS], "ENTREGUE",
    Tabela3[DATA], "&gt;="&amp;TODAY()-30
  ) * 2.5,
"")</f>
        <v>50.599999999999994</v>
      </c>
      <c r="G76" s="35">
        <f>SUMIF(Tabela2[PRODUTO],Tabela1[[#This Row],[PRODUTO]],Tabela2[QTD])</f>
        <v>0</v>
      </c>
    </row>
    <row r="77" spans="2:7" ht="30" customHeight="1">
      <c r="B77" s="52" t="s">
        <v>82</v>
      </c>
      <c r="C77" s="27">
        <f t="shared" si="2"/>
        <v>1</v>
      </c>
      <c r="D77" s="35">
        <f>SUMIFS(Tabela3[QUANTIDADE], Tabela3[PRODUTO], Tabela1[[#This Row],[PRODUTO]], Tabela3[STATUS], TRIM(UPPER("ENTREGUE")))</f>
        <v>1</v>
      </c>
      <c r="E77" s="53">
        <f>AVERAGEIFS(
  Tabela3[CUSTO UNITÁRIO],
  Tabela3[PRODUTO], Tabela1[[#This Row],[PRODUTO]],
  Tabela3[STATUS], "ENTREGUE"
)</f>
        <v>20.99</v>
      </c>
      <c r="F77" s="53">
        <f ca="1">IFERROR(
  AVERAGEIFS(
    Tabela3[CUSTO UNITÁRIO],
    Tabela3[PRODUTO], Tabela1[[#This Row],[PRODUTO]],
    Tabela3[STATUS], "ENTREGUE",
    Tabela3[DATA], "&gt;="&amp;TODAY()-30
  ) * 2.5,
"")</f>
        <v>52.474999999999994</v>
      </c>
      <c r="G77" s="35">
        <f>SUMIF(Tabela2[PRODUTO],Tabela1[[#This Row],[PRODUTO]],Tabela2[QTD])</f>
        <v>0</v>
      </c>
    </row>
    <row r="78" spans="2:7" ht="30" customHeight="1">
      <c r="B78" s="52" t="s">
        <v>83</v>
      </c>
      <c r="C78" s="27">
        <f t="shared" si="2"/>
        <v>1</v>
      </c>
      <c r="D78" s="35">
        <f>SUMIFS(Tabela3[QUANTIDADE], Tabela3[PRODUTO], Tabela1[[#This Row],[PRODUTO]], Tabela3[STATUS], TRIM(UPPER("ENTREGUE")))</f>
        <v>1</v>
      </c>
      <c r="E78" s="53">
        <f>AVERAGEIFS(
  Tabela3[CUSTO UNITÁRIO],
  Tabela3[PRODUTO], Tabela1[[#This Row],[PRODUTO]],
  Tabela3[STATUS], "ENTREGUE"
)</f>
        <v>50</v>
      </c>
      <c r="F78" s="53">
        <f ca="1">IFERROR(
  AVERAGEIFS(
    Tabela3[CUSTO UNITÁRIO],
    Tabela3[PRODUTO], Tabela1[[#This Row],[PRODUTO]],
    Tabela3[STATUS], "ENTREGUE",
    Tabela3[DATA], "&gt;="&amp;TODAY()-30
  ) * 2.5,
"")</f>
        <v>125</v>
      </c>
      <c r="G78" s="35">
        <f>SUMIF(Tabela2[PRODUTO],Tabela1[[#This Row],[PRODUTO]],Tabela2[QTD])</f>
        <v>0</v>
      </c>
    </row>
    <row r="79" spans="2:7" ht="30" customHeight="1">
      <c r="B79" s="52" t="s">
        <v>84</v>
      </c>
      <c r="C79" s="27">
        <f t="shared" si="2"/>
        <v>1</v>
      </c>
      <c r="D79" s="35">
        <f>SUMIFS(Tabela3[QUANTIDADE], Tabela3[PRODUTO], Tabela1[[#This Row],[PRODUTO]], Tabela3[STATUS], TRIM(UPPER("ENTREGUE")))</f>
        <v>1</v>
      </c>
      <c r="E79" s="53">
        <f>AVERAGEIFS(
  Tabela3[CUSTO UNITÁRIO],
  Tabela3[PRODUTO], Tabela1[[#This Row],[PRODUTO]],
  Tabela3[STATUS], "ENTREGUE"
)</f>
        <v>20.28</v>
      </c>
      <c r="F79" s="53">
        <f ca="1">IFERROR(
  AVERAGEIFS(
    Tabela3[CUSTO UNITÁRIO],
    Tabela3[PRODUTO], Tabela1[[#This Row],[PRODUTO]],
    Tabela3[STATUS], "ENTREGUE",
    Tabela3[DATA], "&gt;="&amp;TODAY()-30
  ) * 2.5,
"")</f>
        <v>50.7</v>
      </c>
      <c r="G79" s="35">
        <f>SUMIF(Tabela2[PRODUTO],Tabela1[[#This Row],[PRODUTO]],Tabela2[QTD])</f>
        <v>0</v>
      </c>
    </row>
    <row r="80" spans="2:7" ht="30" customHeight="1">
      <c r="B80" s="52" t="s">
        <v>85</v>
      </c>
      <c r="C80" s="27">
        <f t="shared" si="2"/>
        <v>1</v>
      </c>
      <c r="D80" s="35">
        <f>SUMIFS(Tabela3[QUANTIDADE], Tabela3[PRODUTO], Tabela1[[#This Row],[PRODUTO]], Tabela3[STATUS], TRIM(UPPER("ENTREGUE")))</f>
        <v>1</v>
      </c>
      <c r="E80" s="53">
        <f>AVERAGEIFS(
  Tabela3[CUSTO UNITÁRIO],
  Tabela3[PRODUTO], Tabela1[[#This Row],[PRODUTO]],
  Tabela3[STATUS], "ENTREGUE"
)</f>
        <v>50</v>
      </c>
      <c r="F80" s="53">
        <f ca="1">IFERROR(
  AVERAGEIFS(
    Tabela3[CUSTO UNITÁRIO],
    Tabela3[PRODUTO], Tabela1[[#This Row],[PRODUTO]],
    Tabela3[STATUS], "ENTREGUE",
    Tabela3[DATA], "&gt;="&amp;TODAY()-30
  ) * 2.5,
"")</f>
        <v>125</v>
      </c>
      <c r="G80" s="35">
        <f>SUMIF(Tabela2[PRODUTO],Tabela1[[#This Row],[PRODUTO]],Tabela2[QTD])</f>
        <v>0</v>
      </c>
    </row>
    <row r="81" spans="2:7" ht="30" customHeight="1">
      <c r="B81" s="52" t="s">
        <v>86</v>
      </c>
      <c r="C81" s="27">
        <f t="shared" si="2"/>
        <v>1</v>
      </c>
      <c r="D81" s="35">
        <f>SUMIFS(Tabela3[QUANTIDADE], Tabela3[PRODUTO], Tabela1[[#This Row],[PRODUTO]], Tabela3[STATUS], TRIM(UPPER("ENTREGUE")))</f>
        <v>1</v>
      </c>
      <c r="E81" s="53">
        <f>AVERAGEIFS(
  Tabela3[CUSTO UNITÁRIO],
  Tabela3[PRODUTO], Tabela1[[#This Row],[PRODUTO]],
  Tabela3[STATUS], "ENTREGUE"
)</f>
        <v>36.24</v>
      </c>
      <c r="F81" s="53">
        <f ca="1">IFERROR(
  AVERAGEIFS(
    Tabela3[CUSTO UNITÁRIO],
    Tabela3[PRODUTO], Tabela1[[#This Row],[PRODUTO]],
    Tabela3[STATUS], "ENTREGUE",
    Tabela3[DATA], "&gt;="&amp;TODAY()-30
  ) * 2.5,
"")</f>
        <v>90.600000000000009</v>
      </c>
      <c r="G81" s="35">
        <f>SUMIF(Tabela2[PRODUTO],Tabela1[[#This Row],[PRODUTO]],Tabela2[QTD])</f>
        <v>0</v>
      </c>
    </row>
    <row r="82" spans="2:7" ht="30" customHeight="1">
      <c r="B82" s="52" t="s">
        <v>87</v>
      </c>
      <c r="C82" s="27">
        <f t="shared" si="2"/>
        <v>1</v>
      </c>
      <c r="D82" s="35">
        <f>SUMIFS(Tabela3[QUANTIDADE], Tabela3[PRODUTO], Tabela1[[#This Row],[PRODUTO]], Tabela3[STATUS], TRIM(UPPER("ENTREGUE")))</f>
        <v>1</v>
      </c>
      <c r="E82" s="53">
        <f>AVERAGEIFS(
  Tabela3[CUSTO UNITÁRIO],
  Tabela3[PRODUTO], Tabela1[[#This Row],[PRODUTO]],
  Tabela3[STATUS], "ENTREGUE"
)</f>
        <v>40</v>
      </c>
      <c r="F82" s="53">
        <f ca="1">IFERROR(
  AVERAGEIFS(
    Tabela3[CUSTO UNITÁRIO],
    Tabela3[PRODUTO], Tabela1[[#This Row],[PRODUTO]],
    Tabela3[STATUS], "ENTREGUE",
    Tabela3[DATA], "&gt;="&amp;TODAY()-30
  ) * 2.5,
"")</f>
        <v>100</v>
      </c>
      <c r="G82" s="35">
        <f>SUMIF(Tabela2[PRODUTO],Tabela1[[#This Row],[PRODUTO]],Tabela2[QTD])</f>
        <v>0</v>
      </c>
    </row>
    <row r="83" spans="2:7" ht="30" customHeight="1">
      <c r="B83" s="52" t="s">
        <v>88</v>
      </c>
      <c r="C83" s="27">
        <f t="shared" si="2"/>
        <v>1</v>
      </c>
      <c r="D83" s="35">
        <f>SUMIFS(Tabela3[QUANTIDADE], Tabela3[PRODUTO], Tabela1[[#This Row],[PRODUTO]], Tabela3[STATUS], TRIM(UPPER("ENTREGUE")))</f>
        <v>1</v>
      </c>
      <c r="E83" s="53">
        <f>AVERAGEIFS(
  Tabela3[CUSTO UNITÁRIO],
  Tabela3[PRODUTO], Tabela1[[#This Row],[PRODUTO]],
  Tabela3[STATUS], "ENTREGUE"
)</f>
        <v>10.130000000000001</v>
      </c>
      <c r="F83" s="53">
        <f ca="1">IFERROR(
  AVERAGEIFS(
    Tabela3[CUSTO UNITÁRIO],
    Tabela3[PRODUTO], Tabela1[[#This Row],[PRODUTO]],
    Tabela3[STATUS], "ENTREGUE",
    Tabela3[DATA], "&gt;="&amp;TODAY()-30
  ) * 2.5,
"")</f>
        <v>25.325000000000003</v>
      </c>
      <c r="G83" s="35">
        <f>SUMIF(Tabela2[PRODUTO],Tabela1[[#This Row],[PRODUTO]],Tabela2[QTD])</f>
        <v>0</v>
      </c>
    </row>
    <row r="84" spans="2:7" ht="30" customHeight="1">
      <c r="B84" s="52" t="s">
        <v>89</v>
      </c>
      <c r="C84" s="27">
        <f t="shared" si="2"/>
        <v>1</v>
      </c>
      <c r="D84" s="35">
        <f>SUMIFS(Tabela3[QUANTIDADE], Tabela3[PRODUTO], Tabela1[[#This Row],[PRODUTO]], Tabela3[STATUS], TRIM(UPPER("ENTREGUE")))</f>
        <v>2</v>
      </c>
      <c r="E84" s="53">
        <f>AVERAGEIFS(
  Tabela3[CUSTO UNITÁRIO],
  Tabela3[PRODUTO], Tabela1[[#This Row],[PRODUTO]],
  Tabela3[STATUS], "ENTREGUE"
)</f>
        <v>11.620000000000001</v>
      </c>
      <c r="F84" s="53">
        <f ca="1">IFERROR(
  AVERAGEIFS(
    Tabela3[CUSTO UNITÁRIO],
    Tabela3[PRODUTO], Tabela1[[#This Row],[PRODUTO]],
    Tabela3[STATUS], "ENTREGUE",
    Tabela3[DATA], "&gt;="&amp;TODAY()-30
  ) * 2.5,
"")</f>
        <v>29.050000000000004</v>
      </c>
      <c r="G84" s="35">
        <f>SUMIF(Tabela2[PRODUTO],Tabela1[[#This Row],[PRODUTO]],Tabela2[QTD])</f>
        <v>1</v>
      </c>
    </row>
    <row r="85" spans="2:7" ht="30" customHeight="1">
      <c r="B85" s="52" t="s">
        <v>90</v>
      </c>
      <c r="C85" s="27">
        <f t="shared" si="2"/>
        <v>2</v>
      </c>
      <c r="D85" s="35">
        <f>SUMIFS(Tabela3[QUANTIDADE], Tabela3[PRODUTO], Tabela1[[#This Row],[PRODUTO]], Tabela3[STATUS], TRIM(UPPER("ENTREGUE")))</f>
        <v>3</v>
      </c>
      <c r="E85" s="53">
        <f>AVERAGEIFS(
  Tabela3[CUSTO UNITÁRIO],
  Tabela3[PRODUTO], Tabela1[[#This Row],[PRODUTO]],
  Tabela3[STATUS], "ENTREGUE"
)</f>
        <v>11.53</v>
      </c>
      <c r="F85" s="53">
        <f ca="1">IFERROR(
  AVERAGEIFS(
    Tabela3[CUSTO UNITÁRIO],
    Tabela3[PRODUTO], Tabela1[[#This Row],[PRODUTO]],
    Tabela3[STATUS], "ENTREGUE",
    Tabela3[DATA], "&gt;="&amp;TODAY()-30
  ) * 2.5,
"")</f>
        <v>28.824999999999999</v>
      </c>
      <c r="G85" s="35">
        <f>SUMIF(Tabela2[PRODUTO],Tabela1[[#This Row],[PRODUTO]],Tabela2[QTD])</f>
        <v>1</v>
      </c>
    </row>
    <row r="86" spans="2:7" ht="30" customHeight="1">
      <c r="B86" s="52" t="s">
        <v>91</v>
      </c>
      <c r="C86" s="27">
        <f t="shared" si="2"/>
        <v>1</v>
      </c>
      <c r="D86" s="35">
        <f>SUMIFS(Tabela3[QUANTIDADE], Tabela3[PRODUTO], Tabela1[[#This Row],[PRODUTO]], Tabela3[STATUS], TRIM(UPPER("ENTREGUE")))</f>
        <v>1</v>
      </c>
      <c r="E86" s="53">
        <f>AVERAGEIFS(
  Tabela3[CUSTO UNITÁRIO],
  Tabela3[PRODUTO], Tabela1[[#This Row],[PRODUTO]],
  Tabela3[STATUS], "ENTREGUE"
)</f>
        <v>31.84</v>
      </c>
      <c r="F86" s="53">
        <f ca="1">IFERROR(
  AVERAGEIFS(
    Tabela3[CUSTO UNITÁRIO],
    Tabela3[PRODUTO], Tabela1[[#This Row],[PRODUTO]],
    Tabela3[STATUS], "ENTREGUE",
    Tabela3[DATA], "&gt;="&amp;TODAY()-30
  ) * 2.5,
"")</f>
        <v>79.599999999999994</v>
      </c>
      <c r="G86" s="35">
        <f>SUMIF(Tabela2[PRODUTO],Tabela1[[#This Row],[PRODUTO]],Tabela2[QTD])</f>
        <v>0</v>
      </c>
    </row>
    <row r="87" spans="2:7" ht="30" customHeight="1">
      <c r="B87" s="52" t="s">
        <v>92</v>
      </c>
      <c r="C87" s="27">
        <f t="shared" si="2"/>
        <v>1</v>
      </c>
      <c r="D87" s="35">
        <f>SUMIFS(Tabela3[QUANTIDADE], Tabela3[PRODUTO], Tabela1[[#This Row],[PRODUTO]], Tabela3[STATUS], TRIM(UPPER("ENTREGUE")))</f>
        <v>1</v>
      </c>
      <c r="E87" s="53">
        <f>AVERAGEIFS(
  Tabela3[CUSTO UNITÁRIO],
  Tabela3[PRODUTO], Tabela1[[#This Row],[PRODUTO]],
  Tabela3[STATUS], "ENTREGUE"
)</f>
        <v>57.84</v>
      </c>
      <c r="F87" s="53">
        <f ca="1">IFERROR(
  AVERAGEIFS(
    Tabela3[CUSTO UNITÁRIO],
    Tabela3[PRODUTO], Tabela1[[#This Row],[PRODUTO]],
    Tabela3[STATUS], "ENTREGUE",
    Tabela3[DATA], "&gt;="&amp;TODAY()-30
  ) * 2.5,
"")</f>
        <v>144.60000000000002</v>
      </c>
      <c r="G87" s="35">
        <f>SUMIF(Tabela2[PRODUTO],Tabela1[[#This Row],[PRODUTO]],Tabela2[QTD])</f>
        <v>0</v>
      </c>
    </row>
    <row r="88" spans="2:7" ht="30" customHeight="1">
      <c r="B88" s="52" t="s">
        <v>93</v>
      </c>
      <c r="C88" s="27">
        <f t="shared" si="2"/>
        <v>1</v>
      </c>
      <c r="D88" s="35">
        <f>SUMIFS(Tabela3[QUANTIDADE], Tabela3[PRODUTO], Tabela1[[#This Row],[PRODUTO]], Tabela3[STATUS], TRIM(UPPER("ENTREGUE")))</f>
        <v>1</v>
      </c>
      <c r="E88" s="53">
        <f>AVERAGEIFS(
  Tabela3[CUSTO UNITÁRIO],
  Tabela3[PRODUTO], Tabela1[[#This Row],[PRODUTO]],
  Tabela3[STATUS], "ENTREGUE"
)</f>
        <v>26.05</v>
      </c>
      <c r="F88" s="53">
        <f ca="1">IFERROR(
  AVERAGEIFS(
    Tabela3[CUSTO UNITÁRIO],
    Tabela3[PRODUTO], Tabela1[[#This Row],[PRODUTO]],
    Tabela3[STATUS], "ENTREGUE",
    Tabela3[DATA], "&gt;="&amp;TODAY()-30
  ) * 2.5,
"")</f>
        <v>65.125</v>
      </c>
      <c r="G88" s="35">
        <f>SUMIF(Tabela2[PRODUTO],Tabela1[[#This Row],[PRODUTO]],Tabela2[QTD])</f>
        <v>0</v>
      </c>
    </row>
    <row r="89" spans="2:7" ht="30" customHeight="1">
      <c r="B89" s="55" t="s">
        <v>94</v>
      </c>
      <c r="C89" s="27">
        <f t="shared" si="2"/>
        <v>1</v>
      </c>
      <c r="D89" s="35">
        <f>SUMIFS(Tabela3[QUANTIDADE], Tabela3[PRODUTO], Tabela1[[#This Row],[PRODUTO]], Tabela3[STATUS], TRIM(UPPER("ENTREGUE")))</f>
        <v>1</v>
      </c>
      <c r="E89" s="53">
        <f>AVERAGEIFS(
  Tabela3[CUSTO UNITÁRIO],
  Tabela3[PRODUTO], Tabela1[[#This Row],[PRODUTO]],
  Tabela3[STATUS], "ENTREGUE"
)</f>
        <v>11.63</v>
      </c>
      <c r="F89" s="53">
        <f ca="1">IFERROR(
  AVERAGEIFS(
    Tabela3[CUSTO UNITÁRIO],
    Tabela3[PRODUTO], Tabela1[[#This Row],[PRODUTO]],
    Tabela3[STATUS], "ENTREGUE",
    Tabela3[DATA], "&gt;="&amp;TODAY()-30
  ) * 2.5,
"")</f>
        <v>29.075000000000003</v>
      </c>
      <c r="G89" s="35">
        <f>SUMIF(Tabela2[PRODUTO],Tabela1[[#This Row],[PRODUTO]],Tabela2[QTD])</f>
        <v>0</v>
      </c>
    </row>
    <row r="90" spans="2:7" ht="30" customHeight="1">
      <c r="B90" s="55" t="s">
        <v>95</v>
      </c>
      <c r="C90" s="27">
        <f t="shared" si="2"/>
        <v>1</v>
      </c>
      <c r="D90" s="35">
        <f>SUMIFS(Tabela3[QUANTIDADE], Tabela3[PRODUTO], Tabela1[[#This Row],[PRODUTO]], Tabela3[STATUS], TRIM(UPPER("ENTREGUE")))</f>
        <v>1</v>
      </c>
      <c r="E90" s="53">
        <f>AVERAGEIFS(
  Tabela3[CUSTO UNITÁRIO],
  Tabela3[PRODUTO], Tabela1[[#This Row],[PRODUTO]],
  Tabela3[STATUS], "ENTREGUE"
)</f>
        <v>14.51</v>
      </c>
      <c r="F90" s="53">
        <f ca="1">IFERROR(
  AVERAGEIFS(
    Tabela3[CUSTO UNITÁRIO],
    Tabela3[PRODUTO], Tabela1[[#This Row],[PRODUTO]],
    Tabela3[STATUS], "ENTREGUE",
    Tabela3[DATA], "&gt;="&amp;TODAY()-30
  ) * 2.5,
"")</f>
        <v>36.274999999999999</v>
      </c>
      <c r="G90" s="35">
        <f>SUMIF(Tabela2[PRODUTO],Tabela1[[#This Row],[PRODUTO]],Tabela2[QTD])</f>
        <v>0</v>
      </c>
    </row>
    <row r="91" spans="2:7" ht="30" customHeight="1">
      <c r="B91" s="55" t="s">
        <v>96</v>
      </c>
      <c r="C91" s="27">
        <f t="shared" si="2"/>
        <v>1</v>
      </c>
      <c r="D91" s="35">
        <f>SUMIFS(Tabela3[QUANTIDADE], Tabela3[PRODUTO], Tabela1[[#This Row],[PRODUTO]], Tabela3[STATUS], TRIM(UPPER("ENTREGUE")))</f>
        <v>1</v>
      </c>
      <c r="E91" s="53">
        <f>AVERAGEIFS(
  Tabela3[CUSTO UNITÁRIO],
  Tabela3[PRODUTO], Tabela1[[#This Row],[PRODUTO]],
  Tabela3[STATUS], "ENTREGUE"
)</f>
        <v>20.3</v>
      </c>
      <c r="F91" s="53">
        <f ca="1">IFERROR(
  AVERAGEIFS(
    Tabela3[CUSTO UNITÁRIO],
    Tabela3[PRODUTO], Tabela1[[#This Row],[PRODUTO]],
    Tabela3[STATUS], "ENTREGUE",
    Tabela3[DATA], "&gt;="&amp;TODAY()-30
  ) * 2.5,
"")</f>
        <v>50.75</v>
      </c>
      <c r="G91" s="35">
        <f>SUMIF(Tabela2[PRODUTO],Tabela1[[#This Row],[PRODUTO]],Tabela2[QTD])</f>
        <v>0</v>
      </c>
    </row>
    <row r="92" spans="2:7" ht="30" customHeight="1">
      <c r="B92" s="55" t="s">
        <v>97</v>
      </c>
      <c r="C92" s="27">
        <f t="shared" si="2"/>
        <v>1</v>
      </c>
      <c r="D92" s="35">
        <f>SUMIFS(Tabela3[QUANTIDADE], Tabela3[PRODUTO], Tabela1[[#This Row],[PRODUTO]], Tabela3[STATUS], TRIM(UPPER("ENTREGUE")))</f>
        <v>1</v>
      </c>
      <c r="E92" s="53">
        <f>AVERAGEIFS(
  Tabela3[CUSTO UNITÁRIO],
  Tabela3[PRODUTO], Tabela1[[#This Row],[PRODUTO]],
  Tabela3[STATUS], "ENTREGUE"
)</f>
        <v>11.64</v>
      </c>
      <c r="F92" s="53">
        <f ca="1">IFERROR(
  AVERAGEIFS(
    Tabela3[CUSTO UNITÁRIO],
    Tabela3[PRODUTO], Tabela1[[#This Row],[PRODUTO]],
    Tabela3[STATUS], "ENTREGUE",
    Tabela3[DATA], "&gt;="&amp;TODAY()-30
  ) * 2.5,
"")</f>
        <v>29.1</v>
      </c>
      <c r="G92" s="35">
        <f>SUMIF(Tabela2[PRODUTO],Tabela1[[#This Row],[PRODUTO]],Tabela2[QTD])</f>
        <v>0</v>
      </c>
    </row>
    <row r="93" spans="2:7" ht="30" customHeight="1">
      <c r="B93" s="55" t="s">
        <v>98</v>
      </c>
      <c r="C93" s="27">
        <f t="shared" si="2"/>
        <v>1</v>
      </c>
      <c r="D93" s="35">
        <f>SUMIFS(Tabela3[QUANTIDADE], Tabela3[PRODUTO], Tabela1[[#This Row],[PRODUTO]], Tabela3[STATUS], TRIM(UPPER("ENTREGUE")))</f>
        <v>1</v>
      </c>
      <c r="E93" s="53">
        <f>AVERAGEIFS(
  Tabela3[CUSTO UNITÁRIO],
  Tabela3[PRODUTO], Tabela1[[#This Row],[PRODUTO]],
  Tabela3[STATUS], "ENTREGUE"
)</f>
        <v>13.03</v>
      </c>
      <c r="F93" s="53">
        <f ca="1">IFERROR(
  AVERAGEIFS(
    Tabela3[CUSTO UNITÁRIO],
    Tabela3[PRODUTO], Tabela1[[#This Row],[PRODUTO]],
    Tabela3[STATUS], "ENTREGUE",
    Tabela3[DATA], "&gt;="&amp;TODAY()-30
  ) * 2.5,
"")</f>
        <v>32.574999999999996</v>
      </c>
      <c r="G93" s="35">
        <f>SUMIF(Tabela2[PRODUTO],Tabela1[[#This Row],[PRODUTO]],Tabela2[QTD])</f>
        <v>0</v>
      </c>
    </row>
    <row r="94" spans="2:7" ht="30" customHeight="1">
      <c r="B94" s="55" t="s">
        <v>99</v>
      </c>
      <c r="C94" s="27">
        <f t="shared" si="2"/>
        <v>1</v>
      </c>
      <c r="D94" s="35">
        <f>SUMIFS(Tabela3[QUANTIDADE], Tabela3[PRODUTO], Tabela1[[#This Row],[PRODUTO]], Tabela3[STATUS], TRIM(UPPER("ENTREGUE")))</f>
        <v>1</v>
      </c>
      <c r="E94" s="53">
        <f>AVERAGEIFS(
  Tabela3[CUSTO UNITÁRIO],
  Tabela3[PRODUTO], Tabela1[[#This Row],[PRODUTO]],
  Tabela3[STATUS], "ENTREGUE"
)</f>
        <v>15.92</v>
      </c>
      <c r="F94" s="53">
        <f ca="1">IFERROR(
  AVERAGEIFS(
    Tabela3[CUSTO UNITÁRIO],
    Tabela3[PRODUTO], Tabela1[[#This Row],[PRODUTO]],
    Tabela3[STATUS], "ENTREGUE",
    Tabela3[DATA], "&gt;="&amp;TODAY()-30
  ) * 2.5,
"")</f>
        <v>39.799999999999997</v>
      </c>
      <c r="G94" s="35">
        <f>SUMIF(Tabela2[PRODUTO],Tabela1[[#This Row],[PRODUTO]],Tabela2[QTD])</f>
        <v>0</v>
      </c>
    </row>
    <row r="95" spans="2:7" ht="30" customHeight="1">
      <c r="B95" s="55" t="s">
        <v>100</v>
      </c>
      <c r="C95" s="27">
        <f t="shared" si="2"/>
        <v>2</v>
      </c>
      <c r="D95" s="35">
        <f>SUMIFS(Tabela3[QUANTIDADE], Tabela3[PRODUTO], Tabela1[[#This Row],[PRODUTO]], Tabela3[STATUS], TRIM(UPPER("ENTREGUE")))</f>
        <v>2</v>
      </c>
      <c r="E95" s="53">
        <f>AVERAGEIFS(
  Tabela3[CUSTO UNITÁRIO],
  Tabela3[PRODUTO], Tabela1[[#This Row],[PRODUTO]],
  Tabela3[STATUS], "ENTREGUE"
)</f>
        <v>14.51</v>
      </c>
      <c r="F95" s="53">
        <f ca="1">IFERROR(
  AVERAGEIFS(
    Tabela3[CUSTO UNITÁRIO],
    Tabela3[PRODUTO], Tabela1[[#This Row],[PRODUTO]],
    Tabela3[STATUS], "ENTREGUE",
    Tabela3[DATA], "&gt;="&amp;TODAY()-30
  ) * 2.5,
"")</f>
        <v>36.274999999999999</v>
      </c>
      <c r="G95" s="35">
        <f>SUMIF(Tabela2[PRODUTO],Tabela1[[#This Row],[PRODUTO]],Tabela2[QTD])</f>
        <v>0</v>
      </c>
    </row>
    <row r="96" spans="2:7" ht="30" customHeight="1">
      <c r="B96" s="55" t="s">
        <v>101</v>
      </c>
      <c r="C96" s="27">
        <f>D96-G96</f>
        <v>1</v>
      </c>
      <c r="D96" s="35">
        <f>SUMIFS(Tabela3[QUANTIDADE], Tabela3[PRODUTO], Tabela1[[#This Row],[PRODUTO]], Tabela3[STATUS], TRIM(UPPER("ENTREGUE")))</f>
        <v>1</v>
      </c>
      <c r="E96" s="53">
        <f>AVERAGEIFS(
  Tabela3[CUSTO UNITÁRIO],
  Tabela3[PRODUTO], Tabela1[[#This Row],[PRODUTO]],
  Tabela3[STATUS], "ENTREGUE"
)</f>
        <v>36.21</v>
      </c>
      <c r="F96" s="53">
        <f ca="1">IFERROR(
  AVERAGEIFS(
    Tabela3[CUSTO UNITÁRIO],
    Tabela3[PRODUTO], Tabela1[[#This Row],[PRODUTO]],
    Tabela3[STATUS], "ENTREGUE",
    Tabela3[DATA], "&gt;="&amp;TODAY()-30
  ) * 2.5,
"")</f>
        <v>90.525000000000006</v>
      </c>
      <c r="G96" s="35">
        <f>SUMIF(Tabela2[PRODUTO],Tabela1[[#This Row],[PRODUTO]],Tabela2[QTD])</f>
        <v>0</v>
      </c>
    </row>
    <row r="97" spans="2:7" ht="30" customHeight="1">
      <c r="B97" s="55" t="s">
        <v>102</v>
      </c>
      <c r="C97" s="27">
        <f>D97-G97</f>
        <v>1</v>
      </c>
      <c r="D97" s="35">
        <f>SUMIFS(Tabela3[QUANTIDADE], Tabela3[PRODUTO], Tabela1[[#This Row],[PRODUTO]], Tabela3[STATUS], TRIM(UPPER("ENTREGUE")))</f>
        <v>1</v>
      </c>
      <c r="E97" s="53">
        <f>AVERAGEIFS(
  Tabela3[CUSTO UNITÁRIO],
  Tabela3[PRODUTO], Tabela1[[#This Row],[PRODUTO]],
  Tabela3[STATUS], "ENTREGUE"
)</f>
        <v>11.58</v>
      </c>
      <c r="F97" s="53">
        <f ca="1">IFERROR(
  AVERAGEIFS(
    Tabela3[CUSTO UNITÁRIO],
    Tabela3[PRODUTO], Tabela1[[#This Row],[PRODUTO]],
    Tabela3[STATUS], "ENTREGUE",
    Tabela3[DATA], "&gt;="&amp;TODAY()-30
  ) * 2.5,
"")</f>
        <v>28.95</v>
      </c>
      <c r="G97" s="35">
        <f>SUMIF(Tabela2[PRODUTO],Tabela1[[#This Row],[PRODUTO]],Tabela2[QTD])</f>
        <v>0</v>
      </c>
    </row>
    <row r="98" spans="2:7" ht="30" customHeight="1">
      <c r="B98" s="55" t="s">
        <v>103</v>
      </c>
      <c r="C98" s="27">
        <f>D98-G98</f>
        <v>1</v>
      </c>
      <c r="D98" s="35">
        <f>SUMIFS(Tabela3[QUANTIDADE], Tabela3[PRODUTO], Tabela1[[#This Row],[PRODUTO]], Tabela3[STATUS], TRIM(UPPER("ENTREGUE")))</f>
        <v>1</v>
      </c>
      <c r="E98" s="53">
        <f>AVERAGEIFS(
  Tabela3[CUSTO UNITÁRIO],
  Tabela3[PRODUTO], Tabela1[[#This Row],[PRODUTO]],
  Tabela3[STATUS], "ENTREGUE"
)</f>
        <v>34.81</v>
      </c>
      <c r="F98" s="53">
        <f ca="1">IFERROR(
  AVERAGEIFS(
    Tabela3[CUSTO UNITÁRIO],
    Tabela3[PRODUTO], Tabela1[[#This Row],[PRODUTO]],
    Tabela3[STATUS], "ENTREGUE",
    Tabela3[DATA], "&gt;="&amp;TODAY()-30
  ) * 2.5,
"")</f>
        <v>87.025000000000006</v>
      </c>
      <c r="G98" s="35">
        <f>SUMIF(Tabela2[PRODUTO],Tabela1[[#This Row],[PRODUTO]],Tabela2[QTD])</f>
        <v>0</v>
      </c>
    </row>
    <row r="99" spans="2:7" ht="30" customHeight="1"/>
    <row r="100" spans="2:7" ht="30" customHeight="1"/>
    <row r="101" spans="2:7" ht="30" customHeight="1"/>
    <row r="102" spans="2:7" ht="30" customHeight="1"/>
    <row r="103" spans="2:7" ht="30" customHeight="1"/>
    <row r="104" spans="2:7" ht="30" customHeight="1"/>
    <row r="105" spans="2:7" ht="30" customHeight="1"/>
    <row r="106" spans="2:7" ht="30" customHeight="1"/>
    <row r="107" spans="2:7" ht="30" customHeight="1"/>
    <row r="108" spans="2:7" ht="30" customHeight="1"/>
    <row r="109" spans="2:7" ht="30" customHeight="1"/>
    <row r="110" spans="2:7" ht="30" customHeight="1"/>
    <row r="111" spans="2:7" ht="30" customHeight="1"/>
    <row r="112" spans="2:7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5" customHeight="1"/>
    <row r="998" ht="15" customHeight="1"/>
    <row r="999" ht="15" customHeight="1"/>
    <row r="1000" ht="15" customHeight="1"/>
  </sheetData>
  <mergeCells count="1">
    <mergeCell ref="I3:M3"/>
  </mergeCells>
  <conditionalFormatting sqref="C4:C9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1291-8E77-4637-94FA-3125F754F59A}">
  <sheetPr codeName="Planilha2"/>
  <dimension ref="A1:R1000"/>
  <sheetViews>
    <sheetView showGridLines="0" zoomScale="85" zoomScaleNormal="85" workbookViewId="0">
      <pane ySplit="3" topLeftCell="A18" activePane="bottomLeft" state="frozen"/>
      <selection pane="bottomLeft" activeCell="P31" sqref="P31"/>
    </sheetView>
  </sheetViews>
  <sheetFormatPr defaultRowHeight="15" customHeight="1" zeroHeight="1"/>
  <cols>
    <col min="1" max="1" width="2.6640625" customWidth="1"/>
    <col min="2" max="2" width="11.44140625" style="48" customWidth="1"/>
    <col min="3" max="3" width="37.44140625" customWidth="1"/>
    <col min="4" max="4" width="10.109375" style="34" customWidth="1"/>
    <col min="5" max="5" width="12.5546875" style="14" customWidth="1"/>
    <col min="6" max="6" width="12.109375" customWidth="1"/>
    <col min="7" max="7" width="14.88671875" style="14" customWidth="1"/>
    <col min="8" max="8" width="11.33203125" customWidth="1"/>
    <col min="9" max="9" width="14.44140625" style="25" customWidth="1"/>
    <col min="10" max="10" width="13" style="21" customWidth="1"/>
    <col min="11" max="11" width="18.33203125" style="21" customWidth="1"/>
    <col min="12" max="12" width="18.33203125" customWidth="1"/>
    <col min="13" max="13" width="30.44140625" customWidth="1"/>
    <col min="14" max="14" width="9.109375" customWidth="1"/>
    <col min="16" max="16" width="13.44140625" customWidth="1"/>
    <col min="18" max="18" width="16.33203125" customWidth="1"/>
  </cols>
  <sheetData>
    <row r="1" spans="1:18" s="1" customFormat="1" ht="30" customHeight="1">
      <c r="A1" s="8" t="s">
        <v>104</v>
      </c>
      <c r="B1" s="49"/>
      <c r="D1" s="33"/>
      <c r="E1" s="26"/>
      <c r="G1" s="26"/>
      <c r="I1" s="24"/>
      <c r="J1" s="20"/>
      <c r="K1" s="20"/>
    </row>
    <row r="2" spans="1:18" ht="14.4"/>
    <row r="3" spans="1:18" s="2" customFormat="1" ht="36.75" customHeight="1">
      <c r="B3" s="50" t="s">
        <v>105</v>
      </c>
      <c r="C3" s="28" t="s">
        <v>20</v>
      </c>
      <c r="D3" s="41" t="s">
        <v>106</v>
      </c>
      <c r="E3" s="29" t="s">
        <v>107</v>
      </c>
      <c r="F3" s="28" t="s">
        <v>108</v>
      </c>
      <c r="G3" s="29" t="s">
        <v>109</v>
      </c>
      <c r="H3" s="28" t="s">
        <v>110</v>
      </c>
      <c r="I3" s="30" t="s">
        <v>111</v>
      </c>
      <c r="J3" s="31" t="s">
        <v>112</v>
      </c>
      <c r="K3" s="31" t="s">
        <v>0</v>
      </c>
      <c r="L3" s="28" t="s">
        <v>113</v>
      </c>
      <c r="M3" s="28" t="s">
        <v>114</v>
      </c>
    </row>
    <row r="4" spans="1:18" ht="30" hidden="1" customHeight="1">
      <c r="B4" s="51">
        <v>44484</v>
      </c>
      <c r="C4" s="56" t="s">
        <v>13</v>
      </c>
      <c r="D4" s="35">
        <v>1</v>
      </c>
      <c r="E4" s="7">
        <v>55</v>
      </c>
      <c r="F4" s="7">
        <f>Tabela2[[#This Row],[VALOR VENDA]]*Tabela2[[#This Row],[QTD]]</f>
        <v>55</v>
      </c>
      <c r="G4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</v>
      </c>
      <c r="H4" s="7">
        <f ca="1">Tabela2[[#This Row],[VALOR VENDA]]*Tabela2[[#This Row],[QTD]]-Tabela2[[#This Row],[MEDIA CUSTO UNITARIO]]*Tabela2[[#This Row],[QTD]]</f>
        <v>40</v>
      </c>
      <c r="I4" s="23" t="str">
        <f t="shared" ref="I4:I10" ca="1" si="0">IF(G4&gt;0,TEXT(E4/G4,"0,00") &amp; " " &amp; IF(E4/G4&gt;2,"↑","↓"),0)</f>
        <v>3,67 ↑</v>
      </c>
      <c r="J4" s="22" t="str">
        <f t="shared" ref="J4:J10" ca="1" si="1">IF(G4&gt;0,TEXT((E4-G4)/G4,"0%") &amp; " " &amp; IF((E4-G4)/G4&gt;1,"✅","❌"),0)</f>
        <v>267% ✅</v>
      </c>
      <c r="K4" s="22" t="s">
        <v>1</v>
      </c>
      <c r="L4" s="27"/>
      <c r="M4" s="27"/>
      <c r="P4" s="10"/>
    </row>
    <row r="5" spans="1:18" ht="30" hidden="1" customHeight="1">
      <c r="B5" s="51">
        <v>44485</v>
      </c>
      <c r="C5" s="56" t="s">
        <v>2</v>
      </c>
      <c r="D5" s="35">
        <v>1</v>
      </c>
      <c r="E5" s="7">
        <v>45</v>
      </c>
      <c r="F5" s="7">
        <f>Tabela2[[#This Row],[VALOR VENDA]]*Tabela2[[#This Row],[QTD]]</f>
        <v>45</v>
      </c>
      <c r="G5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20</v>
      </c>
      <c r="H5" s="9">
        <f ca="1">Tabela2[[#This Row],[VALOR VENDA]]*Tabela2[[#This Row],[QTD]]-Tabela2[[#This Row],[MEDIA CUSTO UNITARIO]]*Tabela2[[#This Row],[QTD]]</f>
        <v>25</v>
      </c>
      <c r="I5" s="23" t="str">
        <f t="shared" ca="1" si="0"/>
        <v>2,25 ↑</v>
      </c>
      <c r="J5" s="22" t="str">
        <f t="shared" ca="1" si="1"/>
        <v>125% ✅</v>
      </c>
      <c r="K5" s="22" t="s">
        <v>1</v>
      </c>
      <c r="L5" s="27" t="s">
        <v>115</v>
      </c>
      <c r="M5" s="27"/>
      <c r="R5" s="11"/>
    </row>
    <row r="6" spans="1:18" ht="30" hidden="1" customHeight="1">
      <c r="B6" s="51">
        <v>44486</v>
      </c>
      <c r="C6" s="56" t="s">
        <v>17</v>
      </c>
      <c r="D6" s="35">
        <v>1</v>
      </c>
      <c r="E6" s="7">
        <v>60</v>
      </c>
      <c r="F6" s="7">
        <f>Tabela2[[#This Row],[VALOR VENDA]]*Tabela2[[#This Row],[QTD]]</f>
        <v>60</v>
      </c>
      <c r="G6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20</v>
      </c>
      <c r="H6" s="7">
        <f ca="1">Tabela2[[#This Row],[VALOR VENDA]]*Tabela2[[#This Row],[QTD]]-Tabela2[[#This Row],[MEDIA CUSTO UNITARIO]]*Tabela2[[#This Row],[QTD]]</f>
        <v>40</v>
      </c>
      <c r="I6" s="23" t="str">
        <f t="shared" ca="1" si="0"/>
        <v>3,00 ↑</v>
      </c>
      <c r="J6" s="22" t="str">
        <f t="shared" ca="1" si="1"/>
        <v>200% ✅</v>
      </c>
      <c r="K6" s="22" t="s">
        <v>1</v>
      </c>
      <c r="L6" s="27"/>
      <c r="M6" s="27"/>
    </row>
    <row r="7" spans="1:18" ht="30" hidden="1" customHeight="1">
      <c r="B7" s="51">
        <v>44490</v>
      </c>
      <c r="C7" s="56" t="s">
        <v>26</v>
      </c>
      <c r="D7" s="35">
        <v>1</v>
      </c>
      <c r="E7" s="7">
        <v>120</v>
      </c>
      <c r="F7" s="7">
        <f>Tabela2[[#This Row],[VALOR VENDA]]*Tabela2[[#This Row],[QTD]]</f>
        <v>120</v>
      </c>
      <c r="G7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30</v>
      </c>
      <c r="H7" s="7">
        <f ca="1">Tabela2[[#This Row],[VALOR VENDA]]*Tabela2[[#This Row],[QTD]]-Tabela2[[#This Row],[MEDIA CUSTO UNITARIO]]*Tabela2[[#This Row],[QTD]]</f>
        <v>90</v>
      </c>
      <c r="I7" s="23" t="str">
        <f t="shared" ca="1" si="0"/>
        <v>4,00 ↑</v>
      </c>
      <c r="J7" s="22" t="str">
        <f t="shared" ca="1" si="1"/>
        <v>300% ✅</v>
      </c>
      <c r="K7" s="22" t="s">
        <v>1</v>
      </c>
      <c r="L7" s="27" t="s">
        <v>117</v>
      </c>
      <c r="M7" s="27" t="s">
        <v>118</v>
      </c>
    </row>
    <row r="8" spans="1:18" ht="30" hidden="1" customHeight="1">
      <c r="B8" s="51">
        <v>44490</v>
      </c>
      <c r="C8" s="56" t="s">
        <v>8</v>
      </c>
      <c r="D8" s="35">
        <v>1</v>
      </c>
      <c r="E8" s="7">
        <v>60</v>
      </c>
      <c r="F8" s="7">
        <f>Tabela2[[#This Row],[VALOR VENDA]]*Tabela2[[#This Row],[QTD]]</f>
        <v>60</v>
      </c>
      <c r="G8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</v>
      </c>
      <c r="H8" s="7">
        <f ca="1">Tabela2[[#This Row],[VALOR VENDA]]*Tabela2[[#This Row],[QTD]]-Tabela2[[#This Row],[MEDIA CUSTO UNITARIO]]*Tabela2[[#This Row],[QTD]]</f>
        <v>45</v>
      </c>
      <c r="I8" s="23" t="str">
        <f t="shared" ca="1" si="0"/>
        <v>4,00 ↑</v>
      </c>
      <c r="J8" s="22" t="str">
        <f t="shared" ca="1" si="1"/>
        <v>300% ✅</v>
      </c>
      <c r="K8" s="22" t="s">
        <v>1</v>
      </c>
      <c r="L8" s="27"/>
      <c r="M8" s="27"/>
    </row>
    <row r="9" spans="1:18" ht="30" hidden="1" customHeight="1">
      <c r="B9" s="51">
        <v>44490</v>
      </c>
      <c r="C9" s="56" t="s">
        <v>15</v>
      </c>
      <c r="D9" s="35">
        <v>1</v>
      </c>
      <c r="E9" s="7">
        <v>110</v>
      </c>
      <c r="F9" s="7">
        <f>Tabela2[[#This Row],[VALOR VENDA]]*Tabela2[[#This Row],[QTD]]</f>
        <v>110</v>
      </c>
      <c r="G9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20</v>
      </c>
      <c r="H9" s="7">
        <f ca="1">Tabela2[[#This Row],[VALOR VENDA]]*Tabela2[[#This Row],[QTD]]-Tabela2[[#This Row],[MEDIA CUSTO UNITARIO]]*Tabela2[[#This Row],[QTD]]</f>
        <v>90</v>
      </c>
      <c r="I9" s="23" t="str">
        <f t="shared" ca="1" si="0"/>
        <v>5,50 ↑</v>
      </c>
      <c r="J9" s="22" t="str">
        <f t="shared" ca="1" si="1"/>
        <v>450% ✅</v>
      </c>
      <c r="K9" s="22" t="s">
        <v>1</v>
      </c>
      <c r="L9" s="27"/>
      <c r="M9" s="27"/>
    </row>
    <row r="10" spans="1:18" ht="30" hidden="1" customHeight="1">
      <c r="B10" s="51">
        <v>44491</v>
      </c>
      <c r="C10" s="56" t="s">
        <v>14</v>
      </c>
      <c r="D10" s="35">
        <v>1</v>
      </c>
      <c r="E10" s="7">
        <v>55</v>
      </c>
      <c r="F10" s="7">
        <f>Tabela2[[#This Row],[VALOR VENDA]]*Tabela2[[#This Row],[QTD]]</f>
        <v>55</v>
      </c>
      <c r="G10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13.83</v>
      </c>
      <c r="H10" s="7">
        <f ca="1">Tabela2[[#This Row],[VALOR VENDA]]*Tabela2[[#This Row],[QTD]]-Tabela2[[#This Row],[MEDIA CUSTO UNITARIO]]*Tabela2[[#This Row],[QTD]]</f>
        <v>41.17</v>
      </c>
      <c r="I10" s="23" t="str">
        <f t="shared" ca="1" si="0"/>
        <v>3,98 ↑</v>
      </c>
      <c r="J10" s="22" t="str">
        <f t="shared" ca="1" si="1"/>
        <v>298% ✅</v>
      </c>
      <c r="K10" s="22" t="s">
        <v>1</v>
      </c>
      <c r="L10" s="27"/>
      <c r="M10" s="27"/>
    </row>
    <row r="11" spans="1:18" ht="30" hidden="1" customHeight="1">
      <c r="B11" s="51">
        <v>44494</v>
      </c>
      <c r="C11" s="56" t="s">
        <v>11</v>
      </c>
      <c r="D11" s="35">
        <v>1</v>
      </c>
      <c r="E11" s="7">
        <v>60</v>
      </c>
      <c r="F11" s="7">
        <f>Tabela2[[#This Row],[VALOR VENDA]]*Tabela2[[#This Row],[QTD]]</f>
        <v>60</v>
      </c>
      <c r="G11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14.045999999999998</v>
      </c>
      <c r="H11" s="7">
        <f ca="1">Tabela2[[#This Row],[VALOR VENDA]]*Tabela2[[#This Row],[QTD]]-Tabela2[[#This Row],[MEDIA CUSTO UNITARIO]]*Tabela2[[#This Row],[QTD]]</f>
        <v>45.954000000000001</v>
      </c>
      <c r="I11" s="23" t="str">
        <f t="shared" ref="I11:I21" ca="1" si="2">IF(G11&gt;0,TEXT(E11/G11,"0,00") &amp; " " &amp; IF(E11/G11&gt;2,"↑","↓"),0)</f>
        <v>4,27 ↑</v>
      </c>
      <c r="J11" s="22" t="str">
        <f t="shared" ref="J11:J21" ca="1" si="3">IF(G11&gt;0,TEXT((E11-G11)/G11,"0%") &amp; " " &amp; IF((E11-G11)/G11&gt;1,"✅","❌"),0)</f>
        <v>327% ✅</v>
      </c>
      <c r="K11" s="22" t="s">
        <v>1</v>
      </c>
      <c r="L11" s="27"/>
      <c r="M11" s="27"/>
    </row>
    <row r="12" spans="1:18" ht="30" hidden="1" customHeight="1">
      <c r="B12" s="51">
        <v>44495</v>
      </c>
      <c r="C12" s="56" t="s">
        <v>11</v>
      </c>
      <c r="D12" s="35">
        <v>1</v>
      </c>
      <c r="E12" s="7">
        <v>65</v>
      </c>
      <c r="F12" s="7">
        <f>Tabela2[[#This Row],[VALOR VENDA]]*Tabela2[[#This Row],[QTD]]</f>
        <v>65</v>
      </c>
      <c r="G12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14.045999999999998</v>
      </c>
      <c r="H12" s="7">
        <f ca="1">Tabela2[[#This Row],[VALOR VENDA]]*Tabela2[[#This Row],[QTD]]-Tabela2[[#This Row],[MEDIA CUSTO UNITARIO]]*Tabela2[[#This Row],[QTD]]</f>
        <v>50.954000000000001</v>
      </c>
      <c r="I12" s="23" t="str">
        <f t="shared" ca="1" si="2"/>
        <v>4,63 ↑</v>
      </c>
      <c r="J12" s="22" t="str">
        <f t="shared" ca="1" si="3"/>
        <v>363% ✅</v>
      </c>
      <c r="K12" s="22" t="s">
        <v>1</v>
      </c>
      <c r="L12" s="27"/>
      <c r="M12" s="27"/>
    </row>
    <row r="13" spans="1:18" ht="30" hidden="1" customHeight="1">
      <c r="B13" s="51">
        <v>44497</v>
      </c>
      <c r="C13" s="56" t="s">
        <v>6</v>
      </c>
      <c r="D13" s="35">
        <v>1</v>
      </c>
      <c r="E13" s="7">
        <v>100</v>
      </c>
      <c r="F13" s="7">
        <f>Tabela2[[#This Row],[VALOR VENDA]]*Tabela2[[#This Row],[QTD]]</f>
        <v>100</v>
      </c>
      <c r="G13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24.5075</v>
      </c>
      <c r="H13" s="7">
        <f ca="1">Tabela2[[#This Row],[VALOR VENDA]]*Tabela2[[#This Row],[QTD]]-Tabela2[[#This Row],[MEDIA CUSTO UNITARIO]]*Tabela2[[#This Row],[QTD]]</f>
        <v>75.492500000000007</v>
      </c>
      <c r="I13" s="23" t="str">
        <f t="shared" ca="1" si="2"/>
        <v>4,08 ↑</v>
      </c>
      <c r="J13" s="22" t="str">
        <f t="shared" ca="1" si="3"/>
        <v>308% ✅</v>
      </c>
      <c r="K13" s="22" t="s">
        <v>1</v>
      </c>
      <c r="L13" s="27" t="s">
        <v>119</v>
      </c>
      <c r="M13" s="27"/>
    </row>
    <row r="14" spans="1:18" ht="30" hidden="1" customHeight="1">
      <c r="B14" s="51">
        <v>44497</v>
      </c>
      <c r="C14" s="56" t="s">
        <v>27</v>
      </c>
      <c r="D14" s="35">
        <v>1</v>
      </c>
      <c r="E14" s="7">
        <v>239.9</v>
      </c>
      <c r="F14" s="7">
        <v>249.9</v>
      </c>
      <c r="G14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50</v>
      </c>
      <c r="H14" s="7">
        <f ca="1">Tabela2[[#This Row],[VALOR VENDA]]*Tabela2[[#This Row],[QTD]]-Tabela2[[#This Row],[MEDIA CUSTO UNITARIO]]*Tabela2[[#This Row],[QTD]]</f>
        <v>189.9</v>
      </c>
      <c r="I14" s="23" t="str">
        <f t="shared" ca="1" si="2"/>
        <v>4,80 ↑</v>
      </c>
      <c r="J14" s="22" t="str">
        <f t="shared" ca="1" si="3"/>
        <v>380% ✅</v>
      </c>
      <c r="K14" s="22" t="s">
        <v>116</v>
      </c>
      <c r="L14" s="27" t="s">
        <v>120</v>
      </c>
      <c r="M14" s="27" t="s">
        <v>121</v>
      </c>
    </row>
    <row r="15" spans="1:18" ht="30" hidden="1" customHeight="1">
      <c r="B15" s="51">
        <v>44496</v>
      </c>
      <c r="C15" s="56" t="s">
        <v>6</v>
      </c>
      <c r="D15" s="35">
        <v>1</v>
      </c>
      <c r="E15" s="7">
        <v>100</v>
      </c>
      <c r="F15" s="7">
        <f>Tabela2[[#This Row],[VALOR VENDA]]*Tabela2[[#This Row],[QTD]]</f>
        <v>100</v>
      </c>
      <c r="G15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24.5075</v>
      </c>
      <c r="H15" s="7">
        <f ca="1">Tabela2[[#This Row],[VALOR VENDA]]*Tabela2[[#This Row],[QTD]]-Tabela2[[#This Row],[MEDIA CUSTO UNITARIO]]*Tabela2[[#This Row],[QTD]]</f>
        <v>75.492500000000007</v>
      </c>
      <c r="I15" s="23" t="str">
        <f t="shared" ca="1" si="2"/>
        <v>4,08 ↑</v>
      </c>
      <c r="J15" s="22" t="str">
        <f t="shared" ca="1" si="3"/>
        <v>308% ✅</v>
      </c>
      <c r="K15" s="22" t="s">
        <v>1</v>
      </c>
      <c r="L15" s="27"/>
      <c r="M15" s="27"/>
    </row>
    <row r="16" spans="1:18" ht="30" hidden="1" customHeight="1">
      <c r="B16" s="51">
        <v>44497</v>
      </c>
      <c r="C16" s="56" t="s">
        <v>18</v>
      </c>
      <c r="D16" s="35">
        <v>1</v>
      </c>
      <c r="E16" s="7">
        <v>170</v>
      </c>
      <c r="F16" s="7">
        <f>Tabela2[[#This Row],[VALOR VENDA]]*Tabela2[[#This Row],[QTD]]</f>
        <v>170</v>
      </c>
      <c r="G16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50</v>
      </c>
      <c r="H16" s="7">
        <f ca="1">Tabela2[[#This Row],[VALOR VENDA]]*Tabela2[[#This Row],[QTD]]-Tabela2[[#This Row],[MEDIA CUSTO UNITARIO]]*Tabela2[[#This Row],[QTD]]</f>
        <v>120</v>
      </c>
      <c r="I16" s="23" t="str">
        <f t="shared" ca="1" si="2"/>
        <v>3,40 ↑</v>
      </c>
      <c r="J16" s="22" t="str">
        <f t="shared" ca="1" si="3"/>
        <v>240% ✅</v>
      </c>
      <c r="K16" s="22" t="s">
        <v>1</v>
      </c>
      <c r="L16" s="27"/>
      <c r="M16" s="27"/>
    </row>
    <row r="17" spans="2:13" ht="30" hidden="1" customHeight="1">
      <c r="B17" s="51">
        <v>44499</v>
      </c>
      <c r="C17" s="56" t="s">
        <v>10</v>
      </c>
      <c r="D17" s="35">
        <v>1</v>
      </c>
      <c r="E17" s="7">
        <v>58</v>
      </c>
      <c r="F17" s="7">
        <f>Tabela2[[#This Row],[VALOR VENDA]]*Tabela2[[#This Row],[QTD]]</f>
        <v>58</v>
      </c>
      <c r="G17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11.07</v>
      </c>
      <c r="H17" s="7">
        <f ca="1">Tabela2[[#This Row],[VALOR VENDA]]*Tabela2[[#This Row],[QTD]]-Tabela2[[#This Row],[MEDIA CUSTO UNITARIO]]*Tabela2[[#This Row],[QTD]]</f>
        <v>46.93</v>
      </c>
      <c r="I17" s="23" t="str">
        <f t="shared" ca="1" si="2"/>
        <v>5,24 ↑</v>
      </c>
      <c r="J17" s="22" t="str">
        <f t="shared" ca="1" si="3"/>
        <v>424% ✅</v>
      </c>
      <c r="K17" s="22" t="s">
        <v>1</v>
      </c>
      <c r="L17" s="27"/>
      <c r="M17" s="27"/>
    </row>
    <row r="18" spans="2:13" ht="30" customHeight="1">
      <c r="B18" s="51">
        <v>44500</v>
      </c>
      <c r="C18" s="56" t="s">
        <v>16</v>
      </c>
      <c r="D18" s="35">
        <v>1</v>
      </c>
      <c r="E18" s="7">
        <v>60</v>
      </c>
      <c r="F18" s="7">
        <f>Tabela2[[#This Row],[VALOR VENDA]]*Tabela2[[#This Row],[QTD]]</f>
        <v>60</v>
      </c>
      <c r="G18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20</v>
      </c>
      <c r="H18" s="7">
        <f ca="1">Tabela2[[#This Row],[VALOR VENDA]]*Tabela2[[#This Row],[QTD]]-Tabela2[[#This Row],[MEDIA CUSTO UNITARIO]]*Tabela2[[#This Row],[QTD]]</f>
        <v>40</v>
      </c>
      <c r="I18" s="23" t="str">
        <f t="shared" ca="1" si="2"/>
        <v>3,00 ↑</v>
      </c>
      <c r="J18" s="22" t="str">
        <f t="shared" ca="1" si="3"/>
        <v>200% ✅</v>
      </c>
      <c r="K18" s="22" t="s">
        <v>1</v>
      </c>
      <c r="L18" s="27"/>
      <c r="M18" s="27"/>
    </row>
    <row r="19" spans="2:13" ht="30" customHeight="1">
      <c r="B19" s="51">
        <v>44500</v>
      </c>
      <c r="C19" s="56" t="s">
        <v>7</v>
      </c>
      <c r="D19" s="35">
        <v>1</v>
      </c>
      <c r="E19" s="7">
        <v>60</v>
      </c>
      <c r="F19" s="7">
        <f>Tabela2[[#This Row],[VALOR VENDA]]*Tabela2[[#This Row],[QTD]]</f>
        <v>60</v>
      </c>
      <c r="G19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</v>
      </c>
      <c r="H19" s="7">
        <f ca="1">Tabela2[[#This Row],[VALOR VENDA]]*Tabela2[[#This Row],[QTD]]-Tabela2[[#This Row],[MEDIA CUSTO UNITARIO]]*Tabela2[[#This Row],[QTD]]</f>
        <v>45</v>
      </c>
      <c r="I19" s="23" t="str">
        <f t="shared" ca="1" si="2"/>
        <v>4,00 ↑</v>
      </c>
      <c r="J19" s="22" t="str">
        <f t="shared" ca="1" si="3"/>
        <v>300% ✅</v>
      </c>
      <c r="K19" s="22" t="s">
        <v>1</v>
      </c>
      <c r="L19" s="27"/>
      <c r="M19" s="27"/>
    </row>
    <row r="20" spans="2:13" ht="30" customHeight="1">
      <c r="B20" s="51">
        <v>44501</v>
      </c>
      <c r="C20" s="56" t="s">
        <v>6</v>
      </c>
      <c r="D20" s="35">
        <v>1</v>
      </c>
      <c r="E20" s="7">
        <v>96</v>
      </c>
      <c r="F20" s="7">
        <f>Tabela2[[#This Row],[VALOR VENDA]]*Tabela2[[#This Row],[QTD]]</f>
        <v>96</v>
      </c>
      <c r="G20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24.5075</v>
      </c>
      <c r="H20" s="7">
        <f ca="1">Tabela2[[#This Row],[VALOR VENDA]]*Tabela2[[#This Row],[QTD]]-Tabela2[[#This Row],[MEDIA CUSTO UNITARIO]]*Tabela2[[#This Row],[QTD]]</f>
        <v>71.492500000000007</v>
      </c>
      <c r="I20" s="23" t="str">
        <f t="shared" ca="1" si="2"/>
        <v>3,92 ↑</v>
      </c>
      <c r="J20" s="22" t="str">
        <f t="shared" ca="1" si="3"/>
        <v>292% ✅</v>
      </c>
      <c r="K20" s="22" t="s">
        <v>1</v>
      </c>
      <c r="L20" s="27"/>
      <c r="M20" s="27"/>
    </row>
    <row r="21" spans="2:13" ht="30" customHeight="1">
      <c r="B21" s="51">
        <v>44500</v>
      </c>
      <c r="C21" s="56" t="s">
        <v>5</v>
      </c>
      <c r="D21" s="35">
        <v>1</v>
      </c>
      <c r="E21" s="7">
        <v>165</v>
      </c>
      <c r="F21" s="7">
        <f>Tabela2[[#This Row],[VALOR VENDA]]*Tabela2[[#This Row],[QTD]]</f>
        <v>165</v>
      </c>
      <c r="G21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52.550000000000004</v>
      </c>
      <c r="H21" s="7">
        <f ca="1">Tabela2[[#This Row],[VALOR VENDA]]*Tabela2[[#This Row],[QTD]]-Tabela2[[#This Row],[MEDIA CUSTO UNITARIO]]*Tabela2[[#This Row],[QTD]]</f>
        <v>112.44999999999999</v>
      </c>
      <c r="I21" s="23" t="str">
        <f t="shared" ca="1" si="2"/>
        <v>3,14 ↑</v>
      </c>
      <c r="J21" s="22" t="str">
        <f t="shared" ca="1" si="3"/>
        <v>214% ✅</v>
      </c>
      <c r="K21" s="22" t="s">
        <v>1</v>
      </c>
      <c r="L21" s="27"/>
      <c r="M21" s="27"/>
    </row>
    <row r="22" spans="2:13" ht="30" customHeight="1">
      <c r="B22" s="51">
        <v>44502</v>
      </c>
      <c r="C22" s="56" t="s">
        <v>4</v>
      </c>
      <c r="D22" s="35">
        <v>1</v>
      </c>
      <c r="E22" s="7">
        <v>110</v>
      </c>
      <c r="F22" s="7">
        <f>Tabela2[[#This Row],[VALOR VENDA]]*Tabela2[[#This Row],[QTD]]</f>
        <v>110</v>
      </c>
      <c r="G22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15.085000000000001</v>
      </c>
      <c r="H22" s="7">
        <f ca="1">Tabela2[[#This Row],[VALOR VENDA]]*Tabela2[[#This Row],[QTD]]-Tabela2[[#This Row],[MEDIA CUSTO UNITARIO]]*Tabela2[[#This Row],[QTD]]</f>
        <v>94.914999999999992</v>
      </c>
      <c r="I22" s="23" t="str">
        <f t="shared" ref="I22:I28" ca="1" si="4">IF(G22&gt;0,TEXT(E22/G22,"0,00") &amp; " " &amp; IF(E22/G22&gt;2,"↑","↓"),0)</f>
        <v>7,29 ↑</v>
      </c>
      <c r="J22" s="22" t="str">
        <f t="shared" ref="J22:J28" ca="1" si="5">IF(G22&gt;0,TEXT((E22-G22)/G22,"0%") &amp; " " &amp; IF((E22-G22)/G22&gt;1,"✅","❌"),0)</f>
        <v>629% ✅</v>
      </c>
      <c r="K22" s="22" t="s">
        <v>1</v>
      </c>
      <c r="L22" s="27"/>
      <c r="M22" s="27"/>
    </row>
    <row r="23" spans="2:13" ht="30" customHeight="1">
      <c r="B23" s="51">
        <v>44504</v>
      </c>
      <c r="C23" s="56" t="s">
        <v>13</v>
      </c>
      <c r="D23" s="35">
        <v>1</v>
      </c>
      <c r="E23" s="7">
        <v>60</v>
      </c>
      <c r="F23" s="7">
        <f>Tabela2[[#This Row],[VALOR VENDA]]*Tabela2[[#This Row],[QTD]]</f>
        <v>60</v>
      </c>
      <c r="G23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</v>
      </c>
      <c r="H23" s="7">
        <f ca="1">Tabela2[[#This Row],[VALOR VENDA]]*Tabela2[[#This Row],[QTD]]-Tabela2[[#This Row],[MEDIA CUSTO UNITARIO]]*Tabela2[[#This Row],[QTD]]</f>
        <v>45</v>
      </c>
      <c r="I23" s="23" t="str">
        <f t="shared" ca="1" si="4"/>
        <v>4,00 ↑</v>
      </c>
      <c r="J23" s="22" t="str">
        <f t="shared" ca="1" si="5"/>
        <v>300% ✅</v>
      </c>
      <c r="K23" s="22" t="s">
        <v>1</v>
      </c>
      <c r="L23" s="27"/>
      <c r="M23" s="27"/>
    </row>
    <row r="24" spans="2:13" ht="30" customHeight="1">
      <c r="B24" s="51">
        <v>44504</v>
      </c>
      <c r="C24" s="56" t="s">
        <v>4</v>
      </c>
      <c r="D24" s="35">
        <v>1</v>
      </c>
      <c r="E24" s="7">
        <v>95</v>
      </c>
      <c r="F24" s="7">
        <f>Tabela2[[#This Row],[VALOR VENDA]]*Tabela2[[#This Row],[QTD]]</f>
        <v>95</v>
      </c>
      <c r="G24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15.085000000000001</v>
      </c>
      <c r="H24" s="7">
        <f ca="1">Tabela2[[#This Row],[VALOR VENDA]]*Tabela2[[#This Row],[QTD]]-Tabela2[[#This Row],[MEDIA CUSTO UNITARIO]]*Tabela2[[#This Row],[QTD]]</f>
        <v>79.914999999999992</v>
      </c>
      <c r="I24" s="23" t="str">
        <f t="shared" ca="1" si="4"/>
        <v>6,30 ↑</v>
      </c>
      <c r="J24" s="22" t="str">
        <f t="shared" ca="1" si="5"/>
        <v>530% ✅</v>
      </c>
      <c r="K24" s="22" t="s">
        <v>1</v>
      </c>
      <c r="L24" s="27"/>
      <c r="M24" s="27"/>
    </row>
    <row r="25" spans="2:13" ht="30" customHeight="1">
      <c r="B25" s="51">
        <v>44505</v>
      </c>
      <c r="C25" s="56" t="s">
        <v>14</v>
      </c>
      <c r="D25" s="35">
        <v>1</v>
      </c>
      <c r="E25" s="7">
        <v>50</v>
      </c>
      <c r="F25" s="7">
        <f>Tabela2[[#This Row],[VALOR VENDA]]*Tabela2[[#This Row],[QTD]]</f>
        <v>50</v>
      </c>
      <c r="G25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13.83</v>
      </c>
      <c r="H25" s="7">
        <f ca="1">Tabela2[[#This Row],[VALOR VENDA]]*Tabela2[[#This Row],[QTD]]-Tabela2[[#This Row],[MEDIA CUSTO UNITARIO]]*Tabela2[[#This Row],[QTD]]</f>
        <v>36.17</v>
      </c>
      <c r="I25" s="23" t="str">
        <f t="shared" ca="1" si="4"/>
        <v>3,62 ↑</v>
      </c>
      <c r="J25" s="22" t="str">
        <f t="shared" ca="1" si="5"/>
        <v>262% ✅</v>
      </c>
      <c r="K25" s="22" t="s">
        <v>1</v>
      </c>
      <c r="L25" s="27"/>
      <c r="M25" s="27"/>
    </row>
    <row r="26" spans="2:13" ht="30" customHeight="1">
      <c r="B26" s="51">
        <v>44505</v>
      </c>
      <c r="C26" s="56" t="s">
        <v>6</v>
      </c>
      <c r="D26" s="35">
        <v>1</v>
      </c>
      <c r="E26" s="7">
        <v>95</v>
      </c>
      <c r="F26" s="7">
        <f>Tabela2[[#This Row],[VALOR VENDA]]*Tabela2[[#This Row],[QTD]]</f>
        <v>95</v>
      </c>
      <c r="G26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24.5075</v>
      </c>
      <c r="H26" s="7">
        <f ca="1">Tabela2[[#This Row],[VALOR VENDA]]*Tabela2[[#This Row],[QTD]]-Tabela2[[#This Row],[MEDIA CUSTO UNITARIO]]*Tabela2[[#This Row],[QTD]]</f>
        <v>70.492500000000007</v>
      </c>
      <c r="I26" s="23" t="str">
        <f t="shared" ca="1" si="4"/>
        <v>3,88 ↑</v>
      </c>
      <c r="J26" s="22" t="str">
        <f t="shared" ca="1" si="5"/>
        <v>288% ✅</v>
      </c>
      <c r="K26" s="22" t="s">
        <v>1</v>
      </c>
      <c r="L26" s="27"/>
      <c r="M26" s="27"/>
    </row>
    <row r="27" spans="2:13" ht="30" customHeight="1">
      <c r="B27" s="51">
        <v>44506</v>
      </c>
      <c r="C27" s="56" t="s">
        <v>12</v>
      </c>
      <c r="D27" s="35">
        <v>1</v>
      </c>
      <c r="E27" s="7">
        <v>70</v>
      </c>
      <c r="F27" s="7">
        <f>Tabela2[[#This Row],[VALOR VENDA]]*Tabela2[[#This Row],[QTD]]</f>
        <v>70</v>
      </c>
      <c r="G27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13.29</v>
      </c>
      <c r="H27" s="7">
        <f ca="1">Tabela2[[#This Row],[VALOR VENDA]]*Tabela2[[#This Row],[QTD]]-Tabela2[[#This Row],[MEDIA CUSTO UNITARIO]]*Tabela2[[#This Row],[QTD]]</f>
        <v>56.71</v>
      </c>
      <c r="I27" s="23" t="str">
        <f t="shared" ca="1" si="4"/>
        <v>5,27 ↑</v>
      </c>
      <c r="J27" s="22" t="str">
        <f t="shared" ca="1" si="5"/>
        <v>427% ✅</v>
      </c>
      <c r="K27" s="22" t="s">
        <v>1</v>
      </c>
      <c r="L27" s="27" t="s">
        <v>122</v>
      </c>
      <c r="M27" s="27"/>
    </row>
    <row r="28" spans="2:13" ht="30" customHeight="1">
      <c r="B28" s="51">
        <v>44506</v>
      </c>
      <c r="C28" s="56" t="s">
        <v>3</v>
      </c>
      <c r="D28" s="35">
        <v>1</v>
      </c>
      <c r="E28" s="7">
        <v>55</v>
      </c>
      <c r="F28" s="7">
        <f>Tabela2[[#This Row],[VALOR VENDA]]*Tabela2[[#This Row],[QTD]]</f>
        <v>55</v>
      </c>
      <c r="G28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14.306666666666667</v>
      </c>
      <c r="H28" s="7">
        <f ca="1">Tabela2[[#This Row],[VALOR VENDA]]*Tabela2[[#This Row],[QTD]]-Tabela2[[#This Row],[MEDIA CUSTO UNITARIO]]*Tabela2[[#This Row],[QTD]]</f>
        <v>40.693333333333335</v>
      </c>
      <c r="I28" s="23" t="str">
        <f t="shared" ca="1" si="4"/>
        <v>3,84 ↑</v>
      </c>
      <c r="J28" s="22" t="str">
        <f t="shared" ca="1" si="5"/>
        <v>284% ✅</v>
      </c>
      <c r="K28" s="22" t="s">
        <v>1</v>
      </c>
      <c r="L28" s="27" t="s">
        <v>122</v>
      </c>
      <c r="M28" s="27"/>
    </row>
    <row r="29" spans="2:13" ht="30" customHeight="1">
      <c r="B29" s="51">
        <v>44507</v>
      </c>
      <c r="C29" s="56" t="s">
        <v>14</v>
      </c>
      <c r="D29" s="35">
        <v>1</v>
      </c>
      <c r="E29" s="7">
        <v>50</v>
      </c>
      <c r="F29" s="7">
        <f>Tabela2[[#This Row],[VALOR VENDA]]*Tabela2[[#This Row],[QTD]]</f>
        <v>50</v>
      </c>
      <c r="G29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13.83</v>
      </c>
      <c r="H29" s="7">
        <f ca="1">Tabela2[[#This Row],[VALOR VENDA]]*Tabela2[[#This Row],[QTD]]-Tabela2[[#This Row],[MEDIA CUSTO UNITARIO]]*Tabela2[[#This Row],[QTD]]</f>
        <v>36.17</v>
      </c>
      <c r="I29" s="23" t="str">
        <f t="shared" ref="I29:I37" ca="1" si="6">IF(G29&gt;0,TEXT(E29/G29,"0,00") &amp; " " &amp; IF(E29/G29&gt;2,"↑","↓"),0)</f>
        <v>3,62 ↑</v>
      </c>
      <c r="J29" s="22" t="str">
        <f t="shared" ref="J29:J37" ca="1" si="7">IF(G29&gt;0,TEXT((E29-G29)/G29,"0%") &amp; " " &amp; IF((E29-G29)/G29&gt;1,"✅","❌"),0)</f>
        <v>262% ✅</v>
      </c>
      <c r="K29" s="22" t="s">
        <v>1</v>
      </c>
      <c r="L29" s="27"/>
      <c r="M29" s="27"/>
    </row>
    <row r="30" spans="2:13" ht="30" customHeight="1">
      <c r="B30" s="51">
        <v>44508</v>
      </c>
      <c r="C30" s="56" t="s">
        <v>9</v>
      </c>
      <c r="D30" s="35">
        <v>1</v>
      </c>
      <c r="E30" s="7">
        <v>87</v>
      </c>
      <c r="F30" s="7">
        <f>Tabela2[[#This Row],[VALOR VENDA]]*Tabela2[[#This Row],[QTD]]</f>
        <v>87</v>
      </c>
      <c r="G30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20</v>
      </c>
      <c r="H30" s="7">
        <f ca="1">Tabela2[[#This Row],[VALOR VENDA]]*Tabela2[[#This Row],[QTD]]-Tabela2[[#This Row],[MEDIA CUSTO UNITARIO]]*Tabela2[[#This Row],[QTD]]</f>
        <v>67</v>
      </c>
      <c r="I30" s="23" t="str">
        <f t="shared" ca="1" si="6"/>
        <v>4,35 ↑</v>
      </c>
      <c r="J30" s="22" t="str">
        <f t="shared" ca="1" si="7"/>
        <v>335% ✅</v>
      </c>
      <c r="K30" s="22" t="s">
        <v>1</v>
      </c>
      <c r="L30" s="27"/>
      <c r="M30" s="27"/>
    </row>
    <row r="31" spans="2:13" ht="30" customHeight="1">
      <c r="B31" s="51">
        <v>44509</v>
      </c>
      <c r="C31" s="56" t="s">
        <v>26</v>
      </c>
      <c r="D31" s="35">
        <v>1</v>
      </c>
      <c r="E31" s="7">
        <v>130</v>
      </c>
      <c r="F31" s="7">
        <f>Tabela2[[#This Row],[VALOR VENDA]]*Tabela2[[#This Row],[QTD]]</f>
        <v>130</v>
      </c>
      <c r="G31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30</v>
      </c>
      <c r="H31" s="7">
        <f ca="1">Tabela2[[#This Row],[VALOR VENDA]]*Tabela2[[#This Row],[QTD]]-Tabela2[[#This Row],[MEDIA CUSTO UNITARIO]]*Tabela2[[#This Row],[QTD]]</f>
        <v>100</v>
      </c>
      <c r="I31" s="23" t="str">
        <f t="shared" ca="1" si="6"/>
        <v>4,33 ↑</v>
      </c>
      <c r="J31" s="22" t="str">
        <f t="shared" ca="1" si="7"/>
        <v>333% ✅</v>
      </c>
      <c r="K31" s="22" t="s">
        <v>1</v>
      </c>
      <c r="L31" s="27" t="s">
        <v>123</v>
      </c>
      <c r="M31" s="27"/>
    </row>
    <row r="32" spans="2:13" ht="30" customHeight="1">
      <c r="B32" s="51">
        <v>44511</v>
      </c>
      <c r="C32" s="56" t="s">
        <v>42</v>
      </c>
      <c r="D32" s="35">
        <v>1</v>
      </c>
      <c r="E32" s="7">
        <v>65</v>
      </c>
      <c r="F32" s="7">
        <f>Tabela2[[#This Row],[VALOR VENDA]]*Tabela2[[#This Row],[QTD]]</f>
        <v>65</v>
      </c>
      <c r="G32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21.195</v>
      </c>
      <c r="H32" s="7">
        <f ca="1">Tabela2[[#This Row],[VALOR VENDA]]*Tabela2[[#This Row],[QTD]]-Tabela2[[#This Row],[MEDIA CUSTO UNITARIO]]*Tabela2[[#This Row],[QTD]]</f>
        <v>43.805</v>
      </c>
      <c r="I32" s="23" t="str">
        <f t="shared" ca="1" si="6"/>
        <v>3,07 ↑</v>
      </c>
      <c r="J32" s="22" t="str">
        <f t="shared" ca="1" si="7"/>
        <v>207% ✅</v>
      </c>
      <c r="K32" s="22" t="s">
        <v>1</v>
      </c>
      <c r="L32" s="27"/>
      <c r="M32" s="27"/>
    </row>
    <row r="33" spans="2:13" ht="30" customHeight="1">
      <c r="B33" s="51">
        <v>44511</v>
      </c>
      <c r="C33" s="56" t="s">
        <v>14</v>
      </c>
      <c r="D33" s="35">
        <v>1</v>
      </c>
      <c r="E33" s="7">
        <v>60</v>
      </c>
      <c r="F33" s="7">
        <f>Tabela2[[#This Row],[VALOR VENDA]]*Tabela2[[#This Row],[QTD]]</f>
        <v>60</v>
      </c>
      <c r="G33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13.83</v>
      </c>
      <c r="H33" s="7">
        <f ca="1">Tabela2[[#This Row],[VALOR VENDA]]*Tabela2[[#This Row],[QTD]]-Tabela2[[#This Row],[MEDIA CUSTO UNITARIO]]*Tabela2[[#This Row],[QTD]]</f>
        <v>46.17</v>
      </c>
      <c r="I33" s="23" t="str">
        <f t="shared" ca="1" si="6"/>
        <v>4,34 ↑</v>
      </c>
      <c r="J33" s="22" t="str">
        <f t="shared" ca="1" si="7"/>
        <v>334% ✅</v>
      </c>
      <c r="K33" s="22" t="s">
        <v>1</v>
      </c>
      <c r="L33" s="27"/>
      <c r="M33" s="27"/>
    </row>
    <row r="34" spans="2:13" ht="30" customHeight="1">
      <c r="B34" s="51">
        <v>44511</v>
      </c>
      <c r="C34" s="56" t="s">
        <v>90</v>
      </c>
      <c r="D34" s="35">
        <v>1</v>
      </c>
      <c r="E34" s="7">
        <v>60</v>
      </c>
      <c r="F34" s="7">
        <f>Tabela2[[#This Row],[VALOR VENDA]]*Tabela2[[#This Row],[QTD]]</f>
        <v>60</v>
      </c>
      <c r="G34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11.53</v>
      </c>
      <c r="H34" s="7">
        <f ca="1">Tabela2[[#This Row],[VALOR VENDA]]*Tabela2[[#This Row],[QTD]]-Tabela2[[#This Row],[MEDIA CUSTO UNITARIO]]*Tabela2[[#This Row],[QTD]]</f>
        <v>48.47</v>
      </c>
      <c r="I34" s="23" t="str">
        <f t="shared" ca="1" si="6"/>
        <v>5,20 ↑</v>
      </c>
      <c r="J34" s="22" t="str">
        <f t="shared" ca="1" si="7"/>
        <v>420% ✅</v>
      </c>
      <c r="K34" s="22" t="s">
        <v>1</v>
      </c>
      <c r="L34" s="27"/>
      <c r="M34" s="27"/>
    </row>
    <row r="35" spans="2:13" ht="30" customHeight="1">
      <c r="B35" s="51">
        <v>44511</v>
      </c>
      <c r="C35" s="56" t="s">
        <v>89</v>
      </c>
      <c r="D35" s="35">
        <v>1</v>
      </c>
      <c r="E35" s="7">
        <v>60</v>
      </c>
      <c r="F35" s="7">
        <f>Tabela2[[#This Row],[VALOR VENDA]]*Tabela2[[#This Row],[QTD]]</f>
        <v>60</v>
      </c>
      <c r="G35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11.620000000000001</v>
      </c>
      <c r="H35" s="7">
        <f ca="1">Tabela2[[#This Row],[VALOR VENDA]]*Tabela2[[#This Row],[QTD]]-Tabela2[[#This Row],[MEDIA CUSTO UNITARIO]]*Tabela2[[#This Row],[QTD]]</f>
        <v>48.379999999999995</v>
      </c>
      <c r="I35" s="23" t="str">
        <f t="shared" ca="1" si="6"/>
        <v>5,16 ↑</v>
      </c>
      <c r="J35" s="22" t="str">
        <f t="shared" ca="1" si="7"/>
        <v>416% ✅</v>
      </c>
      <c r="K35" s="22" t="s">
        <v>1</v>
      </c>
      <c r="L35" s="27"/>
      <c r="M35" s="27"/>
    </row>
    <row r="36" spans="2:13" ht="30" customHeight="1">
      <c r="B36" s="51">
        <v>44511</v>
      </c>
      <c r="C36" s="56" t="s">
        <v>79</v>
      </c>
      <c r="D36" s="35">
        <v>1</v>
      </c>
      <c r="E36" s="7">
        <v>60</v>
      </c>
      <c r="F36" s="7">
        <f>Tabela2[[#This Row],[VALOR VENDA]]*Tabela2[[#This Row],[QTD]]</f>
        <v>60</v>
      </c>
      <c r="G36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15.344999999999999</v>
      </c>
      <c r="H36" s="7">
        <f ca="1">Tabela2[[#This Row],[VALOR VENDA]]*Tabela2[[#This Row],[QTD]]-Tabela2[[#This Row],[MEDIA CUSTO UNITARIO]]*Tabela2[[#This Row],[QTD]]</f>
        <v>44.655000000000001</v>
      </c>
      <c r="I36" s="23" t="str">
        <f t="shared" ca="1" si="6"/>
        <v>3,91 ↑</v>
      </c>
      <c r="J36" s="22" t="str">
        <f t="shared" ca="1" si="7"/>
        <v>291% ✅</v>
      </c>
      <c r="K36" s="22" t="s">
        <v>116</v>
      </c>
      <c r="L36" s="27" t="s">
        <v>172</v>
      </c>
      <c r="M36" s="27"/>
    </row>
    <row r="37" spans="2:13" ht="30" customHeight="1">
      <c r="B37" s="51">
        <v>44512</v>
      </c>
      <c r="C37" s="56" t="s">
        <v>42</v>
      </c>
      <c r="D37" s="35">
        <v>1</v>
      </c>
      <c r="E37" s="7">
        <v>55</v>
      </c>
      <c r="F37" s="7">
        <f>Tabela2[[#This Row],[VALOR VENDA]]*Tabela2[[#This Row],[QTD]]</f>
        <v>55</v>
      </c>
      <c r="G37" s="7">
        <f ca="1">IF(
  COUNTIFS(Tabela3[PRODUTO],Tabela2[[#This Row],[PRODUTO]],Tabela3[STATUS],"ENTREGUE",Tabela3[DATA],"&gt;="&amp;TODAY()-120) &gt; 0,
  IFERROR(
    AVERAGEIFS(
      Tabela3[CUSTO UNITÁRIO],
      Tabela3[PRODUTO],Tabela2[[#This Row],[PRODUTO]],
      Tabela3[STATUS],"ENTREGUE",
      Tabela3[DATA],"&gt;="&amp;TODAY()-30
    ),
    0
  ),
  IFERROR(
    AVERAGEIFS(
      Tabela3[CUSTO UNITÁRIO],
      Tabela3[PRODUTO],Tabela2[[#This Row],[PRODUTO]],
      Tabela3[STATUS],"ENTREGUE"
    ),
    0
  )
)</f>
        <v>21.195</v>
      </c>
      <c r="H37" s="7">
        <f ca="1">Tabela2[[#This Row],[VALOR VENDA]]*Tabela2[[#This Row],[QTD]]-Tabela2[[#This Row],[MEDIA CUSTO UNITARIO]]*Tabela2[[#This Row],[QTD]]</f>
        <v>33.805</v>
      </c>
      <c r="I37" s="23" t="str">
        <f t="shared" ca="1" si="6"/>
        <v>2,59 ↑</v>
      </c>
      <c r="J37" s="22" t="str">
        <f t="shared" ca="1" si="7"/>
        <v>159% ✅</v>
      </c>
      <c r="K37" s="22" t="s">
        <v>1</v>
      </c>
      <c r="L37" s="27" t="s">
        <v>175</v>
      </c>
      <c r="M37" s="27"/>
    </row>
    <row r="38" spans="2:13" ht="30" customHeight="1"/>
    <row r="39" spans="2:13" ht="30" customHeight="1"/>
    <row r="40" spans="2:13" ht="30" customHeight="1"/>
    <row r="41" spans="2:13" ht="30" customHeight="1"/>
    <row r="42" spans="2:13" ht="30" customHeight="1"/>
    <row r="43" spans="2:13" ht="30" customHeight="1"/>
    <row r="44" spans="2:13" ht="30" customHeight="1"/>
    <row r="45" spans="2:13" ht="30" customHeight="1"/>
    <row r="46" spans="2:13" ht="30" customHeight="1"/>
    <row r="47" spans="2:13" ht="30" customHeight="1"/>
    <row r="48" spans="2:13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14.4"/>
    <row r="968" ht="14.4"/>
    <row r="969" ht="14.4"/>
    <row r="970" ht="14.4"/>
    <row r="971" ht="14.4"/>
    <row r="972" ht="14.4"/>
    <row r="973" ht="14.4"/>
    <row r="974" ht="14.4"/>
    <row r="975" ht="14.4"/>
    <row r="976" ht="14.4"/>
    <row r="977" ht="14.4"/>
    <row r="978" ht="14.4"/>
    <row r="979" ht="14.4"/>
    <row r="980" ht="14.4"/>
    <row r="981" ht="14.4"/>
    <row r="982" ht="14.4"/>
    <row r="983" ht="14.4"/>
    <row r="984" ht="14.4"/>
    <row r="985" ht="14.4"/>
    <row r="986" ht="14.4"/>
    <row r="987" ht="14.4"/>
    <row r="988" ht="14.4"/>
    <row r="989" ht="14.4"/>
    <row r="990" ht="14.4"/>
    <row r="991" ht="14.4"/>
    <row r="992" ht="14.4"/>
    <row r="993" ht="14.4"/>
    <row r="994" ht="14.4"/>
    <row r="995" ht="14.4"/>
    <row r="996" ht="14.4"/>
    <row r="997" ht="14.4"/>
    <row r="998" ht="14.4"/>
    <row r="999" ht="14.4"/>
    <row r="1000" ht="15" customHeight="1"/>
  </sheetData>
  <conditionalFormatting sqref="K1:K1048576">
    <cfRule type="containsText" dxfId="4" priority="1" operator="containsText" text="NÃO">
      <formula>NOT(ISERROR(SEARCH("NÃO",K1)))</formula>
    </cfRule>
    <cfRule type="containsText" dxfId="3" priority="7" operator="containsText" text="FATURADO">
      <formula>NOT(ISERROR(SEARCH("FATURADO",K1)))</formula>
    </cfRule>
  </conditionalFormatting>
  <conditionalFormatting sqref="O7">
    <cfRule type="containsText" dxfId="2" priority="6" operator="containsText" text="NÃO">
      <formula>NOT(ISERROR(SEARCH("NÃO",O7)))</formula>
    </cfRule>
  </conditionalFormatting>
  <dataValidations count="2">
    <dataValidation type="list" allowBlank="1" showInputMessage="1" showErrorMessage="1" sqref="C4:C37" xr:uid="{84EBE1F6-9AE1-4911-BF4A-C6A9639653AB}">
      <formula1>INDIRECT("Tabela1[PRODUTO]")</formula1>
    </dataValidation>
    <dataValidation type="list" allowBlank="1" showInputMessage="1" showErrorMessage="1" sqref="K1:K1048576" xr:uid="{DD505FCC-BF6F-4038-B4DA-A767B2415249}">
      <formula1>"FATURADO,NÃO FATURADO"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BE49-6FBC-43CF-97C4-DBBCB739BCC8}">
  <sheetPr codeName="Planilha3"/>
  <dimension ref="A1:H1002"/>
  <sheetViews>
    <sheetView showGridLines="0" zoomScale="88" zoomScaleNormal="88" workbookViewId="0">
      <pane ySplit="3" topLeftCell="A138" activePane="bottomLeft" state="frozen"/>
      <selection pane="bottomLeft" activeCell="C102" sqref="C102"/>
    </sheetView>
  </sheetViews>
  <sheetFormatPr defaultRowHeight="14.4" zeroHeight="1"/>
  <cols>
    <col min="1" max="1" width="2.6640625" customWidth="1"/>
    <col min="2" max="2" width="19" customWidth="1"/>
    <col min="3" max="3" width="67.33203125" customWidth="1"/>
    <col min="4" max="4" width="16.5546875" style="13" bestFit="1" customWidth="1"/>
    <col min="5" max="5" width="17.6640625" bestFit="1" customWidth="1"/>
    <col min="6" max="6" width="21" bestFit="1" customWidth="1"/>
    <col min="7" max="7" width="17.6640625" bestFit="1" customWidth="1"/>
    <col min="8" max="8" width="60.33203125" style="16" customWidth="1"/>
    <col min="9" max="9" width="14.109375" bestFit="1" customWidth="1"/>
  </cols>
  <sheetData>
    <row r="1" spans="1:8" s="1" customFormat="1" ht="30" customHeight="1" thickBot="1">
      <c r="A1" s="8" t="s">
        <v>124</v>
      </c>
      <c r="D1" s="12"/>
      <c r="H1" s="15"/>
    </row>
    <row r="2" spans="1:8"/>
    <row r="3" spans="1:8" ht="30" customHeight="1">
      <c r="B3" s="38" t="s">
        <v>105</v>
      </c>
      <c r="C3" s="38" t="s">
        <v>20</v>
      </c>
      <c r="D3" s="38" t="s">
        <v>0</v>
      </c>
      <c r="E3" s="38" t="s">
        <v>125</v>
      </c>
      <c r="F3" s="38" t="s">
        <v>126</v>
      </c>
      <c r="G3" s="38" t="s">
        <v>127</v>
      </c>
      <c r="H3" s="39" t="s">
        <v>128</v>
      </c>
    </row>
    <row r="4" spans="1:8" ht="30" hidden="1" customHeight="1">
      <c r="B4" s="3">
        <v>44485</v>
      </c>
      <c r="C4" s="4" t="s">
        <v>43</v>
      </c>
      <c r="D4" s="2" t="s">
        <v>129</v>
      </c>
      <c r="E4" s="5">
        <v>1</v>
      </c>
      <c r="F4" s="6">
        <v>110.16</v>
      </c>
      <c r="G4" s="6">
        <f>Tabela3[[#This Row],[CUSTO UNITÁRIO]]*Tabela3[[#This Row],[QUANTIDADE]]</f>
        <v>110.16</v>
      </c>
      <c r="H4" s="17" t="s">
        <v>130</v>
      </c>
    </row>
    <row r="5" spans="1:8" ht="30" hidden="1" customHeight="1">
      <c r="B5" s="3">
        <v>44485</v>
      </c>
      <c r="C5" s="4" t="s">
        <v>57</v>
      </c>
      <c r="D5" s="2" t="s">
        <v>131</v>
      </c>
      <c r="E5" s="5">
        <v>1</v>
      </c>
      <c r="F5" s="6">
        <v>28</v>
      </c>
      <c r="G5" s="6">
        <f>Tabela3[[#This Row],[CUSTO UNITÁRIO]]*Tabela3[[#This Row],[QUANTIDADE]]</f>
        <v>28</v>
      </c>
      <c r="H5" s="17" t="s">
        <v>132</v>
      </c>
    </row>
    <row r="6" spans="1:8" ht="30" hidden="1" customHeight="1">
      <c r="B6" s="3">
        <v>44485</v>
      </c>
      <c r="C6" s="4" t="s">
        <v>29</v>
      </c>
      <c r="D6" s="2" t="s">
        <v>131</v>
      </c>
      <c r="E6" s="5">
        <v>1</v>
      </c>
      <c r="F6" s="6">
        <v>28</v>
      </c>
      <c r="G6" s="6">
        <f>Tabela3[[#This Row],[CUSTO UNITÁRIO]]*Tabela3[[#This Row],[QUANTIDADE]]</f>
        <v>28</v>
      </c>
      <c r="H6" s="17" t="s">
        <v>132</v>
      </c>
    </row>
    <row r="7" spans="1:8" ht="30" hidden="1" customHeight="1">
      <c r="B7" s="3">
        <v>44485</v>
      </c>
      <c r="C7" s="4" t="s">
        <v>37</v>
      </c>
      <c r="D7" s="2" t="s">
        <v>131</v>
      </c>
      <c r="E7" s="5">
        <v>1</v>
      </c>
      <c r="F7" s="6">
        <v>28</v>
      </c>
      <c r="G7" s="6">
        <f>Tabela3[[#This Row],[CUSTO UNITÁRIO]]*Tabela3[[#This Row],[QUANTIDADE]]</f>
        <v>28</v>
      </c>
      <c r="H7" s="17" t="s">
        <v>132</v>
      </c>
    </row>
    <row r="8" spans="1:8" ht="30" hidden="1" customHeight="1">
      <c r="B8" s="3">
        <v>44485</v>
      </c>
      <c r="C8" s="4" t="s">
        <v>37</v>
      </c>
      <c r="D8" s="2" t="s">
        <v>131</v>
      </c>
      <c r="E8" s="5">
        <v>1</v>
      </c>
      <c r="F8" s="6">
        <v>20</v>
      </c>
      <c r="G8" s="6">
        <f>Tabela3[[#This Row],[CUSTO UNITÁRIO]]*Tabela3[[#This Row],[QUANTIDADE]]</f>
        <v>20</v>
      </c>
      <c r="H8" s="19" t="s">
        <v>133</v>
      </c>
    </row>
    <row r="9" spans="1:8" ht="30" hidden="1" customHeight="1">
      <c r="B9" s="3">
        <v>44485</v>
      </c>
      <c r="C9" s="4" t="s">
        <v>29</v>
      </c>
      <c r="D9" s="2" t="s">
        <v>131</v>
      </c>
      <c r="E9" s="5">
        <v>1</v>
      </c>
      <c r="F9" s="6">
        <v>20</v>
      </c>
      <c r="G9" s="6">
        <f>Tabela3[[#This Row],[CUSTO UNITÁRIO]]*Tabela3[[#This Row],[QUANTIDADE]]</f>
        <v>20</v>
      </c>
      <c r="H9" s="19" t="s">
        <v>133</v>
      </c>
    </row>
    <row r="10" spans="1:8" ht="30" hidden="1" customHeight="1">
      <c r="B10" s="3">
        <v>44485</v>
      </c>
      <c r="C10" s="4" t="s">
        <v>56</v>
      </c>
      <c r="D10" s="2" t="s">
        <v>131</v>
      </c>
      <c r="E10" s="5">
        <v>1</v>
      </c>
      <c r="F10" s="6">
        <v>20</v>
      </c>
      <c r="G10" s="6">
        <f>Tabela3[[#This Row],[CUSTO UNITÁRIO]]*Tabela3[[#This Row],[QUANTIDADE]]</f>
        <v>20</v>
      </c>
      <c r="H10" s="19" t="s">
        <v>133</v>
      </c>
    </row>
    <row r="11" spans="1:8" ht="30" hidden="1" customHeight="1">
      <c r="B11" s="3">
        <v>44484</v>
      </c>
      <c r="C11" s="4" t="s">
        <v>6</v>
      </c>
      <c r="D11" s="2" t="s">
        <v>131</v>
      </c>
      <c r="E11" s="5">
        <v>9</v>
      </c>
      <c r="F11" s="6">
        <v>25</v>
      </c>
      <c r="G11" s="6">
        <f>Tabela3[[#This Row],[CUSTO UNITÁRIO]]*Tabela3[[#This Row],[QUANTIDADE]]</f>
        <v>225</v>
      </c>
      <c r="H11" s="18"/>
    </row>
    <row r="12" spans="1:8" ht="30" hidden="1" customHeight="1">
      <c r="B12" s="3">
        <v>44484</v>
      </c>
      <c r="C12" s="4" t="s">
        <v>9</v>
      </c>
      <c r="D12" s="2" t="s">
        <v>131</v>
      </c>
      <c r="E12" s="5">
        <v>4</v>
      </c>
      <c r="F12" s="6">
        <v>20</v>
      </c>
      <c r="G12" s="6">
        <f>Tabela3[[#This Row],[CUSTO UNITÁRIO]]*Tabela3[[#This Row],[QUANTIDADE]]</f>
        <v>80</v>
      </c>
      <c r="H12" s="18"/>
    </row>
    <row r="13" spans="1:8" ht="30" hidden="1" customHeight="1">
      <c r="B13" s="3">
        <v>44484</v>
      </c>
      <c r="C13" s="4" t="s">
        <v>13</v>
      </c>
      <c r="D13" s="2" t="s">
        <v>131</v>
      </c>
      <c r="E13" s="5">
        <v>3</v>
      </c>
      <c r="F13" s="6">
        <v>15</v>
      </c>
      <c r="G13" s="6">
        <f>Tabela3[[#This Row],[CUSTO UNITÁRIO]]*Tabela3[[#This Row],[QUANTIDADE]]</f>
        <v>45</v>
      </c>
      <c r="H13" s="18"/>
    </row>
    <row r="14" spans="1:8" ht="30" hidden="1" customHeight="1">
      <c r="B14" s="3">
        <v>44484</v>
      </c>
      <c r="C14" s="4" t="s">
        <v>66</v>
      </c>
      <c r="D14" s="2" t="s">
        <v>131</v>
      </c>
      <c r="E14" s="5">
        <v>1</v>
      </c>
      <c r="F14" s="6">
        <v>20</v>
      </c>
      <c r="G14" s="6">
        <f>Tabela3[[#This Row],[CUSTO UNITÁRIO]]*Tabela3[[#This Row],[QUANTIDADE]]</f>
        <v>20</v>
      </c>
      <c r="H14" s="18"/>
    </row>
    <row r="15" spans="1:8" ht="30" hidden="1" customHeight="1">
      <c r="B15" s="3">
        <v>44484</v>
      </c>
      <c r="C15" s="4" t="s">
        <v>14</v>
      </c>
      <c r="D15" s="2" t="s">
        <v>131</v>
      </c>
      <c r="E15" s="5">
        <v>6</v>
      </c>
      <c r="F15" s="6">
        <v>15</v>
      </c>
      <c r="G15" s="6">
        <f>Tabela3[[#This Row],[CUSTO UNITÁRIO]]*Tabela3[[#This Row],[QUANTIDADE]]</f>
        <v>90</v>
      </c>
      <c r="H15" s="18"/>
    </row>
    <row r="16" spans="1:8" ht="30" hidden="1" customHeight="1">
      <c r="B16" s="3">
        <v>44484</v>
      </c>
      <c r="C16" s="4" t="s">
        <v>38</v>
      </c>
      <c r="D16" s="2" t="s">
        <v>131</v>
      </c>
      <c r="E16" s="5">
        <v>3</v>
      </c>
      <c r="F16" s="6">
        <v>40</v>
      </c>
      <c r="G16" s="6">
        <f>Tabela3[[#This Row],[CUSTO UNITÁRIO]]*Tabela3[[#This Row],[QUANTIDADE]]</f>
        <v>120</v>
      </c>
      <c r="H16" s="18"/>
    </row>
    <row r="17" spans="2:8" ht="30" hidden="1" customHeight="1">
      <c r="B17" s="3">
        <v>44484</v>
      </c>
      <c r="C17" s="4" t="s">
        <v>44</v>
      </c>
      <c r="D17" s="2" t="s">
        <v>131</v>
      </c>
      <c r="E17" s="5">
        <v>2</v>
      </c>
      <c r="F17" s="6">
        <v>20</v>
      </c>
      <c r="G17" s="6">
        <f>Tabela3[[#This Row],[CUSTO UNITÁRIO]]*Tabela3[[#This Row],[QUANTIDADE]]</f>
        <v>40</v>
      </c>
      <c r="H17" s="18"/>
    </row>
    <row r="18" spans="2:8" ht="30" hidden="1" customHeight="1">
      <c r="B18" s="3">
        <v>44484</v>
      </c>
      <c r="C18" s="4" t="s">
        <v>28</v>
      </c>
      <c r="D18" s="2" t="s">
        <v>131</v>
      </c>
      <c r="E18" s="5">
        <v>15</v>
      </c>
      <c r="F18" s="6">
        <v>11</v>
      </c>
      <c r="G18" s="6">
        <f>Tabela3[[#This Row],[CUSTO UNITÁRIO]]*Tabela3[[#This Row],[QUANTIDADE]]</f>
        <v>165</v>
      </c>
      <c r="H18" s="18"/>
    </row>
    <row r="19" spans="2:8" ht="30" hidden="1" customHeight="1">
      <c r="B19" s="3">
        <v>44484</v>
      </c>
      <c r="C19" s="4" t="s">
        <v>7</v>
      </c>
      <c r="D19" s="2" t="s">
        <v>131</v>
      </c>
      <c r="E19" s="5">
        <v>4</v>
      </c>
      <c r="F19" s="6">
        <v>15</v>
      </c>
      <c r="G19" s="6">
        <f>Tabela3[[#This Row],[CUSTO UNITÁRIO]]*Tabela3[[#This Row],[QUANTIDADE]]</f>
        <v>60</v>
      </c>
      <c r="H19" s="18"/>
    </row>
    <row r="20" spans="2:8" ht="30" hidden="1" customHeight="1">
      <c r="B20" s="3">
        <v>44484</v>
      </c>
      <c r="C20" s="4" t="s">
        <v>34</v>
      </c>
      <c r="D20" s="2" t="s">
        <v>131</v>
      </c>
      <c r="E20" s="5">
        <v>5</v>
      </c>
      <c r="F20" s="6">
        <v>20</v>
      </c>
      <c r="G20" s="6">
        <f>Tabela3[[#This Row],[CUSTO UNITÁRIO]]*Tabela3[[#This Row],[QUANTIDADE]]</f>
        <v>100</v>
      </c>
      <c r="H20" s="18"/>
    </row>
    <row r="21" spans="2:8" ht="30" hidden="1" customHeight="1">
      <c r="B21" s="3">
        <v>44484</v>
      </c>
      <c r="C21" s="4" t="s">
        <v>35</v>
      </c>
      <c r="D21" s="2" t="s">
        <v>131</v>
      </c>
      <c r="E21" s="5">
        <v>4</v>
      </c>
      <c r="F21" s="6">
        <v>15</v>
      </c>
      <c r="G21" s="6">
        <f>Tabela3[[#This Row],[CUSTO UNITÁRIO]]*Tabela3[[#This Row],[QUANTIDADE]]</f>
        <v>60</v>
      </c>
      <c r="H21" s="18"/>
    </row>
    <row r="22" spans="2:8" ht="30" hidden="1" customHeight="1">
      <c r="B22" s="3">
        <v>44484</v>
      </c>
      <c r="C22" s="4" t="s">
        <v>67</v>
      </c>
      <c r="D22" s="2" t="s">
        <v>131</v>
      </c>
      <c r="E22" s="5">
        <v>1</v>
      </c>
      <c r="F22" s="6">
        <v>40</v>
      </c>
      <c r="G22" s="6">
        <f>Tabela3[[#This Row],[CUSTO UNITÁRIO]]*Tabela3[[#This Row],[QUANTIDADE]]</f>
        <v>40</v>
      </c>
      <c r="H22" s="18"/>
    </row>
    <row r="23" spans="2:8" ht="30" hidden="1" customHeight="1">
      <c r="B23" s="3">
        <v>44484</v>
      </c>
      <c r="C23" s="4" t="s">
        <v>26</v>
      </c>
      <c r="D23" s="2" t="s">
        <v>131</v>
      </c>
      <c r="E23" s="5">
        <v>2</v>
      </c>
      <c r="F23" s="6">
        <v>30</v>
      </c>
      <c r="G23" s="6">
        <f>Tabela3[[#This Row],[CUSTO UNITÁRIO]]*Tabela3[[#This Row],[QUANTIDADE]]</f>
        <v>60</v>
      </c>
      <c r="H23" s="18"/>
    </row>
    <row r="24" spans="2:8" ht="30" hidden="1" customHeight="1">
      <c r="B24" s="3">
        <v>44484</v>
      </c>
      <c r="C24" s="4" t="s">
        <v>45</v>
      </c>
      <c r="D24" s="2" t="s">
        <v>131</v>
      </c>
      <c r="E24" s="5">
        <v>2</v>
      </c>
      <c r="F24" s="6">
        <v>25</v>
      </c>
      <c r="G24" s="6">
        <f>Tabela3[[#This Row],[CUSTO UNITÁRIO]]*Tabela3[[#This Row],[QUANTIDADE]]</f>
        <v>50</v>
      </c>
      <c r="H24" s="18"/>
    </row>
    <row r="25" spans="2:8" ht="30" hidden="1" customHeight="1">
      <c r="B25" s="3">
        <v>44484</v>
      </c>
      <c r="C25" s="4" t="s">
        <v>58</v>
      </c>
      <c r="D25" s="2" t="s">
        <v>131</v>
      </c>
      <c r="E25" s="5">
        <v>1</v>
      </c>
      <c r="F25" s="6">
        <v>20</v>
      </c>
      <c r="G25" s="6">
        <f>Tabela3[[#This Row],[CUSTO UNITÁRIO]]*Tabela3[[#This Row],[QUANTIDADE]]</f>
        <v>20</v>
      </c>
      <c r="H25" s="18"/>
    </row>
    <row r="26" spans="2:8" ht="30" hidden="1" customHeight="1">
      <c r="B26" s="3">
        <v>44484</v>
      </c>
      <c r="C26" s="4" t="s">
        <v>60</v>
      </c>
      <c r="D26" s="2" t="s">
        <v>131</v>
      </c>
      <c r="E26" s="5">
        <v>1</v>
      </c>
      <c r="F26" s="6">
        <v>20</v>
      </c>
      <c r="G26" s="6">
        <f>Tabela3[[#This Row],[CUSTO UNITÁRIO]]*Tabela3[[#This Row],[QUANTIDADE]]</f>
        <v>20</v>
      </c>
      <c r="H26" s="18"/>
    </row>
    <row r="27" spans="2:8" ht="30" hidden="1" customHeight="1">
      <c r="B27" s="3">
        <v>44484</v>
      </c>
      <c r="C27" s="4" t="s">
        <v>59</v>
      </c>
      <c r="D27" s="2" t="s">
        <v>131</v>
      </c>
      <c r="E27" s="5">
        <v>1</v>
      </c>
      <c r="F27" s="6">
        <v>20</v>
      </c>
      <c r="G27" s="6">
        <f>Tabela3[[#This Row],[CUSTO UNITÁRIO]]*Tabela3[[#This Row],[QUANTIDADE]]</f>
        <v>20</v>
      </c>
      <c r="H27" s="18"/>
    </row>
    <row r="28" spans="2:8" ht="30" hidden="1" customHeight="1">
      <c r="B28" s="3">
        <v>44484</v>
      </c>
      <c r="C28" s="4" t="s">
        <v>2</v>
      </c>
      <c r="D28" s="2" t="s">
        <v>131</v>
      </c>
      <c r="E28" s="5">
        <v>1</v>
      </c>
      <c r="F28" s="6">
        <v>20</v>
      </c>
      <c r="G28" s="6">
        <f>Tabela3[[#This Row],[CUSTO UNITÁRIO]]*Tabela3[[#This Row],[QUANTIDADE]]</f>
        <v>20</v>
      </c>
      <c r="H28" s="18"/>
    </row>
    <row r="29" spans="2:8" ht="30" hidden="1" customHeight="1">
      <c r="B29" s="3">
        <v>44484</v>
      </c>
      <c r="C29" s="4" t="s">
        <v>62</v>
      </c>
      <c r="D29" s="2" t="s">
        <v>131</v>
      </c>
      <c r="E29" s="5">
        <v>1</v>
      </c>
      <c r="F29" s="6">
        <v>20</v>
      </c>
      <c r="G29" s="6">
        <f>Tabela3[[#This Row],[CUSTO UNITÁRIO]]*Tabela3[[#This Row],[QUANTIDADE]]</f>
        <v>20</v>
      </c>
      <c r="H29" s="18"/>
    </row>
    <row r="30" spans="2:8" ht="30" hidden="1" customHeight="1">
      <c r="B30" s="3">
        <v>44484</v>
      </c>
      <c r="C30" s="4" t="s">
        <v>63</v>
      </c>
      <c r="D30" s="2" t="s">
        <v>131</v>
      </c>
      <c r="E30" s="5">
        <v>1</v>
      </c>
      <c r="F30" s="6">
        <v>20</v>
      </c>
      <c r="G30" s="6">
        <f>Tabela3[[#This Row],[CUSTO UNITÁRIO]]*Tabela3[[#This Row],[QUANTIDADE]]</f>
        <v>20</v>
      </c>
      <c r="H30" s="18"/>
    </row>
    <row r="31" spans="2:8" ht="30" hidden="1" customHeight="1">
      <c r="B31" s="3">
        <v>44484</v>
      </c>
      <c r="C31" s="4" t="s">
        <v>8</v>
      </c>
      <c r="D31" s="2" t="s">
        <v>131</v>
      </c>
      <c r="E31" s="5">
        <v>1</v>
      </c>
      <c r="F31" s="6">
        <v>15</v>
      </c>
      <c r="G31" s="6">
        <f>Tabela3[[#This Row],[CUSTO UNITÁRIO]]*Tabela3[[#This Row],[QUANTIDADE]]</f>
        <v>15</v>
      </c>
      <c r="H31" s="18"/>
    </row>
    <row r="32" spans="2:8" ht="30" hidden="1" customHeight="1">
      <c r="B32" s="3">
        <v>44484</v>
      </c>
      <c r="C32" s="4" t="s">
        <v>11</v>
      </c>
      <c r="D32" s="2" t="s">
        <v>131</v>
      </c>
      <c r="E32" s="5">
        <v>3</v>
      </c>
      <c r="F32" s="6">
        <v>25</v>
      </c>
      <c r="G32" s="6">
        <f>Tabela3[[#This Row],[CUSTO UNITÁRIO]]*Tabela3[[#This Row],[QUANTIDADE]]</f>
        <v>75</v>
      </c>
      <c r="H32" s="18"/>
    </row>
    <row r="33" spans="2:8" ht="30" hidden="1" customHeight="1">
      <c r="B33" s="3">
        <v>44484</v>
      </c>
      <c r="C33" s="4" t="s">
        <v>61</v>
      </c>
      <c r="D33" s="2" t="s">
        <v>131</v>
      </c>
      <c r="E33" s="5">
        <v>1</v>
      </c>
      <c r="F33" s="6">
        <v>15</v>
      </c>
      <c r="G33" s="6">
        <f>Tabela3[[#This Row],[CUSTO UNITÁRIO]]*Tabela3[[#This Row],[QUANTIDADE]]</f>
        <v>15</v>
      </c>
      <c r="H33" s="18"/>
    </row>
    <row r="34" spans="2:8" ht="30" hidden="1" customHeight="1">
      <c r="B34" s="3">
        <v>44484</v>
      </c>
      <c r="C34" s="4" t="s">
        <v>65</v>
      </c>
      <c r="D34" s="2" t="s">
        <v>131</v>
      </c>
      <c r="E34" s="5">
        <v>1</v>
      </c>
      <c r="F34" s="6">
        <v>15</v>
      </c>
      <c r="G34" s="6">
        <f>Tabela3[[#This Row],[CUSTO UNITÁRIO]]*Tabela3[[#This Row],[QUANTIDADE]]</f>
        <v>15</v>
      </c>
      <c r="H34" s="18"/>
    </row>
    <row r="35" spans="2:8" ht="30" hidden="1" customHeight="1">
      <c r="B35" s="3">
        <v>44484</v>
      </c>
      <c r="C35" s="4" t="s">
        <v>33</v>
      </c>
      <c r="D35" s="2" t="s">
        <v>131</v>
      </c>
      <c r="E35" s="5">
        <v>5</v>
      </c>
      <c r="F35" s="6">
        <v>15</v>
      </c>
      <c r="G35" s="6">
        <f>Tabela3[[#This Row],[CUSTO UNITÁRIO]]*Tabela3[[#This Row],[QUANTIDADE]]</f>
        <v>75</v>
      </c>
      <c r="H35" s="18"/>
    </row>
    <row r="36" spans="2:8" ht="30" hidden="1" customHeight="1">
      <c r="B36" s="3">
        <v>44484</v>
      </c>
      <c r="C36" s="4" t="s">
        <v>64</v>
      </c>
      <c r="D36" s="2" t="s">
        <v>131</v>
      </c>
      <c r="E36" s="5">
        <v>1</v>
      </c>
      <c r="F36" s="6">
        <v>15</v>
      </c>
      <c r="G36" s="6">
        <f>Tabela3[[#This Row],[CUSTO UNITÁRIO]]*Tabela3[[#This Row],[QUANTIDADE]]</f>
        <v>15</v>
      </c>
      <c r="H36" s="18"/>
    </row>
    <row r="37" spans="2:8" ht="30" hidden="1" customHeight="1">
      <c r="B37" s="3">
        <v>44484</v>
      </c>
      <c r="C37" s="4" t="s">
        <v>4</v>
      </c>
      <c r="D37" s="2" t="s">
        <v>131</v>
      </c>
      <c r="E37" s="5">
        <v>4</v>
      </c>
      <c r="F37" s="6">
        <v>20</v>
      </c>
      <c r="G37" s="6">
        <f>Tabela3[[#This Row],[CUSTO UNITÁRIO]]*Tabela3[[#This Row],[QUANTIDADE]]</f>
        <v>80</v>
      </c>
      <c r="H37" s="18"/>
    </row>
    <row r="38" spans="2:8" ht="30" hidden="1" customHeight="1">
      <c r="B38" s="3">
        <v>44484</v>
      </c>
      <c r="C38" s="4" t="s">
        <v>46</v>
      </c>
      <c r="D38" s="2" t="s">
        <v>131</v>
      </c>
      <c r="E38" s="5">
        <v>2</v>
      </c>
      <c r="F38" s="6">
        <v>20</v>
      </c>
      <c r="G38" s="6">
        <f>Tabela3[[#This Row],[CUSTO UNITÁRIO]]*Tabela3[[#This Row],[QUANTIDADE]]</f>
        <v>40</v>
      </c>
      <c r="H38" s="18"/>
    </row>
    <row r="39" spans="2:8" ht="30" hidden="1" customHeight="1">
      <c r="B39" s="3">
        <v>44484</v>
      </c>
      <c r="C39" s="4" t="s">
        <v>47</v>
      </c>
      <c r="D39" s="2" t="s">
        <v>131</v>
      </c>
      <c r="E39" s="5">
        <v>2</v>
      </c>
      <c r="F39" s="6">
        <v>20</v>
      </c>
      <c r="G39" s="6">
        <f>Tabela3[[#This Row],[CUSTO UNITÁRIO]]*Tabela3[[#This Row],[QUANTIDADE]]</f>
        <v>40</v>
      </c>
      <c r="H39" s="18"/>
    </row>
    <row r="40" spans="2:8" ht="30" hidden="1" customHeight="1">
      <c r="B40" s="3">
        <v>44484</v>
      </c>
      <c r="C40" s="4" t="s">
        <v>15</v>
      </c>
      <c r="D40" s="2" t="s">
        <v>131</v>
      </c>
      <c r="E40" s="5">
        <v>3</v>
      </c>
      <c r="F40" s="6">
        <v>20</v>
      </c>
      <c r="G40" s="6">
        <f>Tabela3[[#This Row],[CUSTO UNITÁRIO]]*Tabela3[[#This Row],[QUANTIDADE]]</f>
        <v>60</v>
      </c>
      <c r="H40" s="18"/>
    </row>
    <row r="41" spans="2:8" ht="30" hidden="1" customHeight="1">
      <c r="B41" s="3">
        <v>44484</v>
      </c>
      <c r="C41" s="4" t="s">
        <v>85</v>
      </c>
      <c r="D41" s="2" t="s">
        <v>131</v>
      </c>
      <c r="E41" s="5">
        <v>1</v>
      </c>
      <c r="F41" s="6">
        <v>50</v>
      </c>
      <c r="G41" s="6">
        <f>Tabela3[[#This Row],[CUSTO UNITÁRIO]]*Tabela3[[#This Row],[QUANTIDADE]]</f>
        <v>50</v>
      </c>
      <c r="H41" s="18"/>
    </row>
    <row r="42" spans="2:8" ht="30" hidden="1" customHeight="1">
      <c r="B42" s="3">
        <v>44484</v>
      </c>
      <c r="C42" s="4" t="s">
        <v>69</v>
      </c>
      <c r="D42" s="2" t="s">
        <v>131</v>
      </c>
      <c r="E42" s="5">
        <v>1</v>
      </c>
      <c r="F42" s="6">
        <v>50</v>
      </c>
      <c r="G42" s="6">
        <f>Tabela3[[#This Row],[CUSTO UNITÁRIO]]*Tabela3[[#This Row],[QUANTIDADE]]</f>
        <v>50</v>
      </c>
      <c r="H42" s="18"/>
    </row>
    <row r="43" spans="2:8" ht="30" hidden="1" customHeight="1">
      <c r="B43" s="3">
        <v>44484</v>
      </c>
      <c r="C43" s="4" t="s">
        <v>70</v>
      </c>
      <c r="D43" s="2" t="s">
        <v>131</v>
      </c>
      <c r="E43" s="5">
        <v>1</v>
      </c>
      <c r="F43" s="6">
        <v>50</v>
      </c>
      <c r="G43" s="6">
        <f>Tabela3[[#This Row],[CUSTO UNITÁRIO]]*Tabela3[[#This Row],[QUANTIDADE]]</f>
        <v>50</v>
      </c>
      <c r="H43" s="18"/>
    </row>
    <row r="44" spans="2:8" ht="30" hidden="1" customHeight="1">
      <c r="B44" s="3">
        <v>44484</v>
      </c>
      <c r="C44" s="4" t="s">
        <v>75</v>
      </c>
      <c r="D44" s="2" t="s">
        <v>131</v>
      </c>
      <c r="E44" s="5">
        <v>1</v>
      </c>
      <c r="F44" s="6">
        <v>50</v>
      </c>
      <c r="G44" s="6">
        <f>Tabela3[[#This Row],[CUSTO UNITÁRIO]]*Tabela3[[#This Row],[QUANTIDADE]]</f>
        <v>50</v>
      </c>
      <c r="H44" s="18"/>
    </row>
    <row r="45" spans="2:8" ht="30" hidden="1" customHeight="1">
      <c r="B45" s="3">
        <v>44484</v>
      </c>
      <c r="C45" s="4" t="s">
        <v>18</v>
      </c>
      <c r="D45" s="2" t="s">
        <v>131</v>
      </c>
      <c r="E45" s="5">
        <v>4</v>
      </c>
      <c r="F45" s="6">
        <v>50</v>
      </c>
      <c r="G45" s="6">
        <f>Tabela3[[#This Row],[CUSTO UNITÁRIO]]*Tabela3[[#This Row],[QUANTIDADE]]</f>
        <v>200</v>
      </c>
      <c r="H45" s="18"/>
    </row>
    <row r="46" spans="2:8" ht="30" hidden="1" customHeight="1">
      <c r="B46" s="3">
        <v>44484</v>
      </c>
      <c r="C46" s="4" t="s">
        <v>50</v>
      </c>
      <c r="D46" s="2" t="s">
        <v>131</v>
      </c>
      <c r="E46" s="5">
        <v>2</v>
      </c>
      <c r="F46" s="6">
        <v>50</v>
      </c>
      <c r="G46" s="6">
        <f>Tabela3[[#This Row],[CUSTO UNITÁRIO]]*Tabela3[[#This Row],[QUANTIDADE]]</f>
        <v>100</v>
      </c>
      <c r="H46" s="18"/>
    </row>
    <row r="47" spans="2:8" ht="30" hidden="1" customHeight="1">
      <c r="B47" s="3">
        <v>44484</v>
      </c>
      <c r="C47" s="4" t="s">
        <v>74</v>
      </c>
      <c r="D47" s="2" t="s">
        <v>131</v>
      </c>
      <c r="E47" s="5">
        <v>1</v>
      </c>
      <c r="F47" s="6">
        <v>50</v>
      </c>
      <c r="G47" s="6">
        <f>Tabela3[[#This Row],[CUSTO UNITÁRIO]]*Tabela3[[#This Row],[QUANTIDADE]]</f>
        <v>50</v>
      </c>
      <c r="H47" s="18"/>
    </row>
    <row r="48" spans="2:8" ht="30" hidden="1" customHeight="1">
      <c r="B48" s="3">
        <v>44484</v>
      </c>
      <c r="C48" s="4" t="s">
        <v>71</v>
      </c>
      <c r="D48" s="2" t="s">
        <v>131</v>
      </c>
      <c r="E48" s="5">
        <v>1</v>
      </c>
      <c r="F48" s="6">
        <v>50</v>
      </c>
      <c r="G48" s="6">
        <f>Tabela3[[#This Row],[CUSTO UNITÁRIO]]*Tabela3[[#This Row],[QUANTIDADE]]</f>
        <v>50</v>
      </c>
      <c r="H48" s="18"/>
    </row>
    <row r="49" spans="2:8" ht="30" hidden="1" customHeight="1">
      <c r="B49" s="3">
        <v>44484</v>
      </c>
      <c r="C49" s="4" t="s">
        <v>27</v>
      </c>
      <c r="D49" s="2" t="s">
        <v>131</v>
      </c>
      <c r="E49" s="5">
        <v>1</v>
      </c>
      <c r="F49" s="6">
        <v>50</v>
      </c>
      <c r="G49" s="6">
        <f>Tabela3[[#This Row],[CUSTO UNITÁRIO]]*Tabela3[[#This Row],[QUANTIDADE]]</f>
        <v>50</v>
      </c>
      <c r="H49" s="18"/>
    </row>
    <row r="50" spans="2:8" ht="30" hidden="1" customHeight="1">
      <c r="B50" s="3">
        <v>44484</v>
      </c>
      <c r="C50" s="4" t="s">
        <v>76</v>
      </c>
      <c r="D50" s="2" t="s">
        <v>131</v>
      </c>
      <c r="E50" s="5">
        <v>1</v>
      </c>
      <c r="F50" s="6">
        <v>50</v>
      </c>
      <c r="G50" s="6">
        <f>Tabela3[[#This Row],[CUSTO UNITÁRIO]]*Tabela3[[#This Row],[QUANTIDADE]]</f>
        <v>50</v>
      </c>
      <c r="H50" s="18"/>
    </row>
    <row r="51" spans="2:8" ht="30" hidden="1" customHeight="1">
      <c r="B51" s="3">
        <v>44484</v>
      </c>
      <c r="C51" s="4" t="s">
        <v>72</v>
      </c>
      <c r="D51" s="2" t="s">
        <v>131</v>
      </c>
      <c r="E51" s="5">
        <v>1</v>
      </c>
      <c r="F51" s="6">
        <v>50</v>
      </c>
      <c r="G51" s="6">
        <f>Tabela3[[#This Row],[CUSTO UNITÁRIO]]*Tabela3[[#This Row],[QUANTIDADE]]</f>
        <v>50</v>
      </c>
      <c r="H51" s="18"/>
    </row>
    <row r="52" spans="2:8" ht="30" hidden="1" customHeight="1">
      <c r="B52" s="3">
        <v>44484</v>
      </c>
      <c r="C52" s="4" t="s">
        <v>51</v>
      </c>
      <c r="D52" s="2" t="s">
        <v>131</v>
      </c>
      <c r="E52" s="5">
        <v>1</v>
      </c>
      <c r="F52" s="6">
        <v>50</v>
      </c>
      <c r="G52" s="6">
        <f>Tabela3[[#This Row],[CUSTO UNITÁRIO]]*Tabela3[[#This Row],[QUANTIDADE]]</f>
        <v>50</v>
      </c>
      <c r="H52" s="18"/>
    </row>
    <row r="53" spans="2:8" ht="30" hidden="1" customHeight="1">
      <c r="B53" s="3">
        <v>44484</v>
      </c>
      <c r="C53" s="4" t="s">
        <v>78</v>
      </c>
      <c r="D53" s="2" t="s">
        <v>131</v>
      </c>
      <c r="E53" s="5">
        <v>1</v>
      </c>
      <c r="F53" s="6">
        <v>35</v>
      </c>
      <c r="G53" s="6">
        <f>Tabela3[[#This Row],[CUSTO UNITÁRIO]]*Tabela3[[#This Row],[QUANTIDADE]]</f>
        <v>35</v>
      </c>
      <c r="H53" s="18"/>
    </row>
    <row r="54" spans="2:8" ht="30" hidden="1" customHeight="1">
      <c r="B54" s="3">
        <v>44484</v>
      </c>
      <c r="C54" s="4" t="s">
        <v>51</v>
      </c>
      <c r="D54" s="2" t="s">
        <v>131</v>
      </c>
      <c r="E54" s="5">
        <v>1</v>
      </c>
      <c r="F54" s="6">
        <v>50</v>
      </c>
      <c r="G54" s="6">
        <f>Tabela3[[#This Row],[CUSTO UNITÁRIO]]*Tabela3[[#This Row],[QUANTIDADE]]</f>
        <v>50</v>
      </c>
      <c r="H54" s="18"/>
    </row>
    <row r="55" spans="2:8" ht="30" hidden="1" customHeight="1">
      <c r="B55" s="3">
        <v>44484</v>
      </c>
      <c r="C55" s="4" t="s">
        <v>77</v>
      </c>
      <c r="D55" s="2" t="s">
        <v>131</v>
      </c>
      <c r="E55" s="5">
        <v>1</v>
      </c>
      <c r="F55" s="6">
        <v>50</v>
      </c>
      <c r="G55" s="6">
        <f>Tabela3[[#This Row],[CUSTO UNITÁRIO]]*Tabela3[[#This Row],[QUANTIDADE]]</f>
        <v>50</v>
      </c>
      <c r="H55" s="18"/>
    </row>
    <row r="56" spans="2:8" ht="30" hidden="1" customHeight="1">
      <c r="B56" s="3">
        <v>44484</v>
      </c>
      <c r="C56" s="4" t="s">
        <v>36</v>
      </c>
      <c r="D56" s="2" t="s">
        <v>131</v>
      </c>
      <c r="E56" s="5">
        <v>5</v>
      </c>
      <c r="F56" s="6">
        <v>30</v>
      </c>
      <c r="G56" s="6">
        <f>Tabela3[[#This Row],[CUSTO UNITÁRIO]]*Tabela3[[#This Row],[QUANTIDADE]]</f>
        <v>150</v>
      </c>
      <c r="H56" s="18"/>
    </row>
    <row r="57" spans="2:8" ht="30" hidden="1" customHeight="1">
      <c r="B57" s="3">
        <v>44484</v>
      </c>
      <c r="C57" s="4" t="s">
        <v>48</v>
      </c>
      <c r="D57" s="2" t="s">
        <v>131</v>
      </c>
      <c r="E57" s="5">
        <v>2</v>
      </c>
      <c r="F57" s="6">
        <v>35</v>
      </c>
      <c r="G57" s="6">
        <f>Tabela3[[#This Row],[CUSTO UNITÁRIO]]*Tabela3[[#This Row],[QUANTIDADE]]</f>
        <v>70</v>
      </c>
      <c r="H57" s="18"/>
    </row>
    <row r="58" spans="2:8" ht="30" hidden="1" customHeight="1">
      <c r="B58" s="3">
        <v>44484</v>
      </c>
      <c r="C58" s="4" t="s">
        <v>49</v>
      </c>
      <c r="D58" s="2" t="s">
        <v>131</v>
      </c>
      <c r="E58" s="5">
        <v>2</v>
      </c>
      <c r="F58" s="6">
        <v>35</v>
      </c>
      <c r="G58" s="6">
        <f>Tabela3[[#This Row],[CUSTO UNITÁRIO]]*Tabela3[[#This Row],[QUANTIDADE]]</f>
        <v>70</v>
      </c>
      <c r="H58" s="18"/>
    </row>
    <row r="59" spans="2:8" ht="30" hidden="1" customHeight="1">
      <c r="B59" s="3">
        <v>44484</v>
      </c>
      <c r="C59" s="4" t="s">
        <v>31</v>
      </c>
      <c r="D59" s="2" t="s">
        <v>131</v>
      </c>
      <c r="E59" s="5">
        <v>8</v>
      </c>
      <c r="F59" s="6">
        <v>20</v>
      </c>
      <c r="G59" s="6">
        <f>Tabela3[[#This Row],[CUSTO UNITÁRIO]]*Tabela3[[#This Row],[QUANTIDADE]]</f>
        <v>160</v>
      </c>
      <c r="H59" s="18"/>
    </row>
    <row r="60" spans="2:8" ht="30" hidden="1" customHeight="1">
      <c r="B60" s="3">
        <v>44484</v>
      </c>
      <c r="C60" s="4" t="s">
        <v>68</v>
      </c>
      <c r="D60" s="2" t="s">
        <v>131</v>
      </c>
      <c r="E60" s="5">
        <v>1</v>
      </c>
      <c r="F60" s="6">
        <v>20</v>
      </c>
      <c r="G60" s="6">
        <f>Tabela3[[#This Row],[CUSTO UNITÁRIO]]*Tabela3[[#This Row],[QUANTIDADE]]</f>
        <v>20</v>
      </c>
      <c r="H60" s="18"/>
    </row>
    <row r="61" spans="2:8" ht="30" hidden="1" customHeight="1">
      <c r="B61" s="3">
        <v>44484</v>
      </c>
      <c r="C61" s="4" t="s">
        <v>16</v>
      </c>
      <c r="D61" s="2" t="s">
        <v>131</v>
      </c>
      <c r="E61" s="5">
        <v>25</v>
      </c>
      <c r="F61" s="6">
        <v>20</v>
      </c>
      <c r="G61" s="6">
        <f>Tabela3[[#This Row],[CUSTO UNITÁRIO]]*Tabela3[[#This Row],[QUANTIDADE]]</f>
        <v>500</v>
      </c>
      <c r="H61" s="18"/>
    </row>
    <row r="62" spans="2:8" ht="30" hidden="1" customHeight="1">
      <c r="B62" s="3">
        <v>44484</v>
      </c>
      <c r="C62" s="4" t="s">
        <v>17</v>
      </c>
      <c r="D62" s="2" t="s">
        <v>131</v>
      </c>
      <c r="E62" s="5">
        <v>21</v>
      </c>
      <c r="F62" s="6">
        <v>20</v>
      </c>
      <c r="G62" s="6">
        <f>Tabela3[[#This Row],[CUSTO UNITÁRIO]]*Tabela3[[#This Row],[QUANTIDADE]]</f>
        <v>420</v>
      </c>
      <c r="H62" s="18"/>
    </row>
    <row r="63" spans="2:8" ht="30" hidden="1" customHeight="1">
      <c r="B63" s="3">
        <v>44484</v>
      </c>
      <c r="C63" s="4" t="s">
        <v>73</v>
      </c>
      <c r="D63" s="2" t="s">
        <v>131</v>
      </c>
      <c r="E63" s="5">
        <v>1</v>
      </c>
      <c r="F63" s="6">
        <v>50</v>
      </c>
      <c r="G63" s="6">
        <f>Tabela3[[#This Row],[CUSTO UNITÁRIO]]*Tabela3[[#This Row],[QUANTIDADE]]</f>
        <v>50</v>
      </c>
      <c r="H63" s="18"/>
    </row>
    <row r="64" spans="2:8" ht="30" hidden="1" customHeight="1">
      <c r="B64" s="3">
        <v>44486</v>
      </c>
      <c r="C64" s="4" t="s">
        <v>38</v>
      </c>
      <c r="D64" s="2" t="s">
        <v>131</v>
      </c>
      <c r="E64" s="5">
        <v>1</v>
      </c>
      <c r="F64" s="6">
        <v>25.07</v>
      </c>
      <c r="G64" s="6">
        <f>Tabela3[[#This Row],[CUSTO UNITÁRIO]]*Tabela3[[#This Row],[QUANTIDADE]]</f>
        <v>25.07</v>
      </c>
      <c r="H64" s="18"/>
    </row>
    <row r="65" spans="2:8" ht="30" hidden="1" customHeight="1">
      <c r="B65" s="3">
        <v>44489</v>
      </c>
      <c r="C65" s="4" t="s">
        <v>52</v>
      </c>
      <c r="D65" s="2" t="s">
        <v>131</v>
      </c>
      <c r="E65" s="5">
        <v>2</v>
      </c>
      <c r="F65" s="6">
        <v>17.600000000000001</v>
      </c>
      <c r="G65" s="6">
        <f>Tabela3[[#This Row],[CUSTO UNITÁRIO]]*Tabela3[[#This Row],[QUANTIDADE]]</f>
        <v>35.200000000000003</v>
      </c>
      <c r="H65" s="18" t="s">
        <v>134</v>
      </c>
    </row>
    <row r="66" spans="2:8" ht="30" hidden="1" customHeight="1">
      <c r="B66" s="3">
        <v>44489</v>
      </c>
      <c r="C66" s="4" t="s">
        <v>40</v>
      </c>
      <c r="D66" s="2" t="s">
        <v>131</v>
      </c>
      <c r="E66" s="5">
        <v>1</v>
      </c>
      <c r="F66" s="6">
        <v>54.89</v>
      </c>
      <c r="G66" s="6">
        <f>Tabela3[[#This Row],[CUSTO UNITÁRIO]]*Tabela3[[#This Row],[QUANTIDADE]]</f>
        <v>54.89</v>
      </c>
      <c r="H66" s="18" t="s">
        <v>134</v>
      </c>
    </row>
    <row r="67" spans="2:8" ht="30" hidden="1" customHeight="1">
      <c r="B67" s="3">
        <v>44489</v>
      </c>
      <c r="C67" s="4" t="s">
        <v>42</v>
      </c>
      <c r="D67" s="2" t="s">
        <v>131</v>
      </c>
      <c r="E67" s="5">
        <v>1</v>
      </c>
      <c r="F67" s="6">
        <v>25.04</v>
      </c>
      <c r="G67" s="6">
        <f>Tabela3[[#This Row],[CUSTO UNITÁRIO]]*Tabela3[[#This Row],[QUANTIDADE]]</f>
        <v>25.04</v>
      </c>
      <c r="H67" s="18" t="s">
        <v>134</v>
      </c>
    </row>
    <row r="68" spans="2:8" ht="30" hidden="1" customHeight="1">
      <c r="B68" s="3">
        <v>44489</v>
      </c>
      <c r="C68" s="4" t="s">
        <v>6</v>
      </c>
      <c r="D68" s="2" t="s">
        <v>131</v>
      </c>
      <c r="E68" s="5">
        <v>1</v>
      </c>
      <c r="F68" s="6">
        <v>38.71</v>
      </c>
      <c r="G68" s="6">
        <f>Tabela3[[#This Row],[CUSTO UNITÁRIO]]*Tabela3[[#This Row],[QUANTIDADE]]</f>
        <v>38.71</v>
      </c>
      <c r="H68" s="18" t="s">
        <v>134</v>
      </c>
    </row>
    <row r="69" spans="2:8" ht="30" hidden="1" customHeight="1">
      <c r="B69" s="3">
        <v>44489</v>
      </c>
      <c r="C69" s="4" t="s">
        <v>79</v>
      </c>
      <c r="D69" s="2" t="s">
        <v>131</v>
      </c>
      <c r="E69" s="5">
        <v>1</v>
      </c>
      <c r="F69" s="6">
        <v>19.09</v>
      </c>
      <c r="G69" s="6">
        <f>Tabela3[[#This Row],[CUSTO UNITÁRIO]]*Tabela3[[#This Row],[QUANTIDADE]]</f>
        <v>19.09</v>
      </c>
      <c r="H69" s="18" t="s">
        <v>134</v>
      </c>
    </row>
    <row r="70" spans="2:8" ht="30" hidden="1" customHeight="1">
      <c r="B70" s="3">
        <v>44489</v>
      </c>
      <c r="C70" s="4" t="s">
        <v>39</v>
      </c>
      <c r="D70" s="2" t="s">
        <v>131</v>
      </c>
      <c r="E70" s="5">
        <v>1</v>
      </c>
      <c r="F70" s="6">
        <v>17.600000000000001</v>
      </c>
      <c r="G70" s="6">
        <f>Tabela3[[#This Row],[CUSTO UNITÁRIO]]*Tabela3[[#This Row],[QUANTIDADE]]</f>
        <v>17.600000000000001</v>
      </c>
      <c r="H70" s="18" t="s">
        <v>134</v>
      </c>
    </row>
    <row r="71" spans="2:8" ht="30" hidden="1" customHeight="1">
      <c r="B71" s="3">
        <v>44489</v>
      </c>
      <c r="C71" s="4" t="s">
        <v>3</v>
      </c>
      <c r="D71" s="2" t="s">
        <v>131</v>
      </c>
      <c r="E71" s="5">
        <v>2</v>
      </c>
      <c r="F71" s="6">
        <v>17.600000000000001</v>
      </c>
      <c r="G71" s="6">
        <f>Tabela3[[#This Row],[CUSTO UNITÁRIO]]*Tabela3[[#This Row],[QUANTIDADE]]</f>
        <v>35.200000000000003</v>
      </c>
      <c r="H71" s="18" t="s">
        <v>134</v>
      </c>
    </row>
    <row r="72" spans="2:8" ht="30" hidden="1" customHeight="1">
      <c r="B72" s="3">
        <v>44491</v>
      </c>
      <c r="C72" s="4" t="s">
        <v>80</v>
      </c>
      <c r="D72" s="2" t="s">
        <v>131</v>
      </c>
      <c r="E72" s="5">
        <v>1</v>
      </c>
      <c r="F72" s="6">
        <v>32.840000000000003</v>
      </c>
      <c r="G72" s="6">
        <f>Tabela3[[#This Row],[CUSTO UNITÁRIO]]*Tabela3[[#This Row],[QUANTIDADE]]</f>
        <v>32.840000000000003</v>
      </c>
      <c r="H72" s="18" t="s">
        <v>134</v>
      </c>
    </row>
    <row r="73" spans="2:8" ht="30" hidden="1" customHeight="1">
      <c r="B73" s="3">
        <v>44491</v>
      </c>
      <c r="C73" s="4" t="s">
        <v>12</v>
      </c>
      <c r="D73" s="2" t="s">
        <v>131</v>
      </c>
      <c r="E73" s="5">
        <v>3</v>
      </c>
      <c r="F73" s="6">
        <v>12.11</v>
      </c>
      <c r="G73" s="6">
        <f>Tabela3[[#This Row],[CUSTO UNITÁRIO]]*Tabela3[[#This Row],[QUANTIDADE]]</f>
        <v>36.33</v>
      </c>
      <c r="H73" s="18" t="s">
        <v>134</v>
      </c>
    </row>
    <row r="74" spans="2:8" ht="30" hidden="1" customHeight="1">
      <c r="B74" s="3">
        <v>44491</v>
      </c>
      <c r="C74" s="4" t="s">
        <v>39</v>
      </c>
      <c r="D74" s="2" t="s">
        <v>131</v>
      </c>
      <c r="E74" s="5">
        <v>2</v>
      </c>
      <c r="F74" s="6">
        <v>12.11</v>
      </c>
      <c r="G74" s="6">
        <f>Tabela3[[#This Row],[CUSTO UNITÁRIO]]*Tabela3[[#This Row],[QUANTIDADE]]</f>
        <v>24.22</v>
      </c>
      <c r="H74" s="18" t="s">
        <v>134</v>
      </c>
    </row>
    <row r="75" spans="2:8" ht="30" hidden="1" customHeight="1">
      <c r="B75" s="3">
        <v>44491</v>
      </c>
      <c r="C75" s="4" t="s">
        <v>3</v>
      </c>
      <c r="D75" s="2" t="s">
        <v>131</v>
      </c>
      <c r="E75" s="5">
        <v>1</v>
      </c>
      <c r="F75" s="6">
        <v>12.11</v>
      </c>
      <c r="G75" s="6">
        <f>Tabela3[[#This Row],[CUSTO UNITÁRIO]]*Tabela3[[#This Row],[QUANTIDADE]]</f>
        <v>12.11</v>
      </c>
      <c r="H75" s="18" t="s">
        <v>134</v>
      </c>
    </row>
    <row r="76" spans="2:8" ht="30" hidden="1" customHeight="1">
      <c r="B76" s="3">
        <v>44491</v>
      </c>
      <c r="C76" s="4" t="s">
        <v>3</v>
      </c>
      <c r="D76" s="2" t="s">
        <v>131</v>
      </c>
      <c r="E76" s="5">
        <v>1</v>
      </c>
      <c r="F76" s="6">
        <v>13.21</v>
      </c>
      <c r="G76" s="6">
        <f>Tabela3[[#This Row],[CUSTO UNITÁRIO]]*Tabela3[[#This Row],[QUANTIDADE]]</f>
        <v>13.21</v>
      </c>
      <c r="H76" s="18" t="s">
        <v>134</v>
      </c>
    </row>
    <row r="77" spans="2:8" ht="30" hidden="1" customHeight="1">
      <c r="B77" s="3">
        <v>44491</v>
      </c>
      <c r="C77" s="4" t="s">
        <v>35</v>
      </c>
      <c r="D77" s="2" t="s">
        <v>131</v>
      </c>
      <c r="E77" s="5">
        <v>1</v>
      </c>
      <c r="F77" s="6">
        <v>16.75</v>
      </c>
      <c r="G77" s="6">
        <f>Tabela3[[#This Row],[CUSTO UNITÁRIO]]*Tabela3[[#This Row],[QUANTIDADE]]</f>
        <v>16.75</v>
      </c>
      <c r="H77" s="18" t="s">
        <v>134</v>
      </c>
    </row>
    <row r="78" spans="2:8" ht="30" hidden="1" customHeight="1">
      <c r="B78" s="3">
        <v>44491</v>
      </c>
      <c r="C78" s="4" t="s">
        <v>12</v>
      </c>
      <c r="D78" s="2" t="s">
        <v>131</v>
      </c>
      <c r="E78" s="5">
        <v>1</v>
      </c>
      <c r="F78" s="6">
        <v>14.47</v>
      </c>
      <c r="G78" s="6">
        <f>Tabela3[[#This Row],[CUSTO UNITÁRIO]]*Tabela3[[#This Row],[QUANTIDADE]]</f>
        <v>14.47</v>
      </c>
      <c r="H78" s="32" t="s">
        <v>135</v>
      </c>
    </row>
    <row r="79" spans="2:8" ht="30" hidden="1" customHeight="1">
      <c r="B79" s="3">
        <v>44491</v>
      </c>
      <c r="C79" s="4" t="s">
        <v>29</v>
      </c>
      <c r="D79" s="2" t="s">
        <v>131</v>
      </c>
      <c r="E79" s="5">
        <v>1</v>
      </c>
      <c r="F79" s="6">
        <v>58.08</v>
      </c>
      <c r="G79" s="6">
        <f>Tabela3[[#This Row],[CUSTO UNITÁRIO]]*Tabela3[[#This Row],[QUANTIDADE]]</f>
        <v>58.08</v>
      </c>
      <c r="H79" s="32" t="s">
        <v>135</v>
      </c>
    </row>
    <row r="80" spans="2:8" ht="30" hidden="1" customHeight="1">
      <c r="B80" s="3">
        <v>44491</v>
      </c>
      <c r="C80" s="4" t="s">
        <v>53</v>
      </c>
      <c r="D80" s="2" t="s">
        <v>131</v>
      </c>
      <c r="E80" s="5">
        <v>1</v>
      </c>
      <c r="F80" s="6">
        <v>72.41</v>
      </c>
      <c r="G80" s="6">
        <f>Tabela3[[#This Row],[CUSTO UNITÁRIO]]*Tabela3[[#This Row],[QUANTIDADE]]</f>
        <v>72.41</v>
      </c>
      <c r="H80" s="32" t="s">
        <v>135</v>
      </c>
    </row>
    <row r="81" spans="2:8" ht="30" hidden="1" customHeight="1">
      <c r="B81" s="3">
        <v>44491</v>
      </c>
      <c r="C81" s="4" t="s">
        <v>4</v>
      </c>
      <c r="D81" s="2" t="s">
        <v>131</v>
      </c>
      <c r="E81" s="5">
        <v>1</v>
      </c>
      <c r="F81" s="6">
        <v>10.17</v>
      </c>
      <c r="G81" s="6">
        <f>Tabela3[[#This Row],[CUSTO UNITÁRIO]]*Tabela3[[#This Row],[QUANTIDADE]]</f>
        <v>10.17</v>
      </c>
      <c r="H81" s="32" t="s">
        <v>136</v>
      </c>
    </row>
    <row r="82" spans="2:8" ht="30" hidden="1" customHeight="1">
      <c r="B82" s="3">
        <v>44496</v>
      </c>
      <c r="C82" s="4" t="s">
        <v>54</v>
      </c>
      <c r="D82" s="2" t="s">
        <v>131</v>
      </c>
      <c r="E82" s="5">
        <v>1</v>
      </c>
      <c r="F82" s="6">
        <v>20.329999999999998</v>
      </c>
      <c r="G82" s="6">
        <f>Tabela3[[#This Row],[CUSTO UNITÁRIO]]*Tabela3[[#This Row],[QUANTIDADE]]</f>
        <v>20.329999999999998</v>
      </c>
      <c r="H82" s="32" t="s">
        <v>137</v>
      </c>
    </row>
    <row r="83" spans="2:8" ht="30" hidden="1" customHeight="1">
      <c r="B83" s="3">
        <v>44496</v>
      </c>
      <c r="C83" s="4" t="s">
        <v>29</v>
      </c>
      <c r="D83" s="2" t="s">
        <v>131</v>
      </c>
      <c r="E83" s="5">
        <v>1</v>
      </c>
      <c r="F83" s="6">
        <v>20.329999999999998</v>
      </c>
      <c r="G83" s="6">
        <f>Tabela3[[#This Row],[CUSTO UNITÁRIO]]*Tabela3[[#This Row],[QUANTIDADE]]</f>
        <v>20.329999999999998</v>
      </c>
      <c r="H83" s="32" t="s">
        <v>137</v>
      </c>
    </row>
    <row r="84" spans="2:8" ht="30" hidden="1" customHeight="1">
      <c r="B84" s="3">
        <v>44496</v>
      </c>
      <c r="C84" s="4" t="s">
        <v>53</v>
      </c>
      <c r="D84" s="2" t="s">
        <v>131</v>
      </c>
      <c r="E84" s="5">
        <v>1</v>
      </c>
      <c r="F84" s="6">
        <v>45.56</v>
      </c>
      <c r="G84" s="6">
        <f>Tabela3[[#This Row],[CUSTO UNITÁRIO]]*Tabela3[[#This Row],[QUANTIDADE]]</f>
        <v>45.56</v>
      </c>
      <c r="H84" s="32" t="s">
        <v>138</v>
      </c>
    </row>
    <row r="85" spans="2:8" ht="30" hidden="1" customHeight="1">
      <c r="B85" s="3">
        <v>44496</v>
      </c>
      <c r="C85" s="4" t="s">
        <v>5</v>
      </c>
      <c r="D85" s="2" t="s">
        <v>131</v>
      </c>
      <c r="E85" s="5">
        <v>1</v>
      </c>
      <c r="F85" s="6">
        <v>62.2</v>
      </c>
      <c r="G85" s="6">
        <f>Tabela3[[#This Row],[CUSTO UNITÁRIO]]*Tabela3[[#This Row],[QUANTIDADE]]</f>
        <v>62.2</v>
      </c>
      <c r="H85" s="47" t="s">
        <v>139</v>
      </c>
    </row>
    <row r="86" spans="2:8" ht="30" hidden="1" customHeight="1">
      <c r="B86" s="3">
        <v>44496</v>
      </c>
      <c r="C86" s="4" t="s">
        <v>81</v>
      </c>
      <c r="D86" s="2" t="s">
        <v>131</v>
      </c>
      <c r="E86" s="5">
        <v>1</v>
      </c>
      <c r="F86" s="6">
        <v>20.239999999999998</v>
      </c>
      <c r="G86" s="6">
        <f>Tabela3[[#This Row],[CUSTO UNITÁRIO]]*Tabela3[[#This Row],[QUANTIDADE]]</f>
        <v>20.239999999999998</v>
      </c>
      <c r="H86" s="47" t="s">
        <v>139</v>
      </c>
    </row>
    <row r="87" spans="2:8" ht="30" hidden="1" customHeight="1">
      <c r="B87" s="3">
        <v>44496</v>
      </c>
      <c r="C87" s="4" t="s">
        <v>40</v>
      </c>
      <c r="D87" s="2" t="s">
        <v>131</v>
      </c>
      <c r="E87" s="5">
        <v>1</v>
      </c>
      <c r="F87" s="6">
        <v>20.239999999999998</v>
      </c>
      <c r="G87" s="6">
        <f>Tabela3[[#This Row],[CUSTO UNITÁRIO]]*Tabela3[[#This Row],[QUANTIDADE]]</f>
        <v>20.239999999999998</v>
      </c>
      <c r="H87" s="47" t="s">
        <v>139</v>
      </c>
    </row>
    <row r="88" spans="2:8" ht="30" hidden="1" customHeight="1">
      <c r="B88" s="3">
        <v>44496</v>
      </c>
      <c r="C88" s="4" t="s">
        <v>55</v>
      </c>
      <c r="D88" s="2" t="s">
        <v>131</v>
      </c>
      <c r="E88" s="5">
        <v>1</v>
      </c>
      <c r="F88" s="6">
        <v>20.309999999999999</v>
      </c>
      <c r="G88" s="6">
        <f>Tabela3[[#This Row],[CUSTO UNITÁRIO]]*Tabela3[[#This Row],[QUANTIDADE]]</f>
        <v>20.309999999999999</v>
      </c>
      <c r="H88" s="32" t="s">
        <v>140</v>
      </c>
    </row>
    <row r="89" spans="2:8" ht="30" hidden="1" customHeight="1">
      <c r="B89" s="3">
        <v>44496</v>
      </c>
      <c r="C89" s="4" t="s">
        <v>29</v>
      </c>
      <c r="D89" s="2" t="s">
        <v>131</v>
      </c>
      <c r="E89" s="5">
        <v>1</v>
      </c>
      <c r="F89" s="6">
        <v>20.309999999999999</v>
      </c>
      <c r="G89" s="6">
        <f>Tabela3[[#This Row],[CUSTO UNITÁRIO]]*Tabela3[[#This Row],[QUANTIDADE]]</f>
        <v>20.309999999999999</v>
      </c>
      <c r="H89" s="32" t="s">
        <v>140</v>
      </c>
    </row>
    <row r="90" spans="2:8" ht="30" hidden="1" customHeight="1">
      <c r="B90" s="3">
        <v>44496</v>
      </c>
      <c r="C90" s="4" t="s">
        <v>40</v>
      </c>
      <c r="D90" s="2" t="s">
        <v>131</v>
      </c>
      <c r="E90" s="5">
        <v>1</v>
      </c>
      <c r="F90" s="6">
        <v>20.309999999999999</v>
      </c>
      <c r="G90" s="6">
        <f>Tabela3[[#This Row],[CUSTO UNITÁRIO]]*Tabela3[[#This Row],[QUANTIDADE]]</f>
        <v>20.309999999999999</v>
      </c>
      <c r="H90" s="32" t="s">
        <v>140</v>
      </c>
    </row>
    <row r="91" spans="2:8" ht="30" hidden="1" customHeight="1">
      <c r="B91" s="3">
        <v>44496</v>
      </c>
      <c r="C91" s="4" t="s">
        <v>30</v>
      </c>
      <c r="D91" s="2" t="s">
        <v>131</v>
      </c>
      <c r="E91" s="5">
        <v>10</v>
      </c>
      <c r="F91" s="6">
        <v>17.899999999999999</v>
      </c>
      <c r="G91" s="6">
        <f>Tabela3[[#This Row],[CUSTO UNITÁRIO]]*Tabela3[[#This Row],[QUANTIDADE]]</f>
        <v>179</v>
      </c>
      <c r="H91" s="18" t="s">
        <v>141</v>
      </c>
    </row>
    <row r="92" spans="2:8" ht="30" hidden="1" customHeight="1">
      <c r="B92" s="3">
        <v>44498</v>
      </c>
      <c r="C92" s="4" t="s">
        <v>37</v>
      </c>
      <c r="D92" s="2" t="s">
        <v>131</v>
      </c>
      <c r="E92" s="5">
        <v>1</v>
      </c>
      <c r="F92" s="6">
        <v>20.32</v>
      </c>
      <c r="G92" s="6">
        <f>Tabela3[[#This Row],[CUSTO UNITÁRIO]]*Tabela3[[#This Row],[QUANTIDADE]]</f>
        <v>20.32</v>
      </c>
      <c r="H92" s="32" t="s">
        <v>142</v>
      </c>
    </row>
    <row r="93" spans="2:8" ht="30" hidden="1" customHeight="1">
      <c r="B93" s="3">
        <v>44498</v>
      </c>
      <c r="C93" s="4" t="s">
        <v>29</v>
      </c>
      <c r="D93" s="2" t="s">
        <v>131</v>
      </c>
      <c r="E93" s="5">
        <v>2</v>
      </c>
      <c r="F93" s="6">
        <v>20.25</v>
      </c>
      <c r="G93" s="6">
        <f>Tabela3[[#This Row],[CUSTO UNITÁRIO]]*Tabela3[[#This Row],[QUANTIDADE]]</f>
        <v>40.5</v>
      </c>
      <c r="H93" s="32" t="s">
        <v>142</v>
      </c>
    </row>
    <row r="94" spans="2:8" ht="30" hidden="1" customHeight="1">
      <c r="B94" s="3">
        <v>44498</v>
      </c>
      <c r="C94" s="4" t="s">
        <v>32</v>
      </c>
      <c r="D94" s="2" t="s">
        <v>131</v>
      </c>
      <c r="E94" s="5">
        <v>6</v>
      </c>
      <c r="F94" s="6">
        <v>13.01</v>
      </c>
      <c r="G94" s="6">
        <f>Tabela3[[#This Row],[CUSTO UNITÁRIO]]*Tabela3[[#This Row],[QUANTIDADE]]</f>
        <v>78.06</v>
      </c>
      <c r="H94" s="18" t="s">
        <v>143</v>
      </c>
    </row>
    <row r="95" spans="2:8" ht="30" hidden="1" customHeight="1">
      <c r="B95" s="3">
        <v>44498</v>
      </c>
      <c r="C95" s="4" t="s">
        <v>29</v>
      </c>
      <c r="D95" s="2" t="s">
        <v>131</v>
      </c>
      <c r="E95" s="5">
        <v>1</v>
      </c>
      <c r="F95" s="6">
        <v>20.29</v>
      </c>
      <c r="G95" s="6">
        <f>Tabela3[[#This Row],[CUSTO UNITÁRIO]]*Tabela3[[#This Row],[QUANTIDADE]]</f>
        <v>20.29</v>
      </c>
      <c r="H95" s="32" t="s">
        <v>144</v>
      </c>
    </row>
    <row r="96" spans="2:8" ht="30" hidden="1" customHeight="1">
      <c r="B96" s="3">
        <v>44498</v>
      </c>
      <c r="C96" s="4" t="s">
        <v>82</v>
      </c>
      <c r="D96" s="2" t="s">
        <v>131</v>
      </c>
      <c r="E96" s="5">
        <v>1</v>
      </c>
      <c r="F96" s="6">
        <v>20.99</v>
      </c>
      <c r="G96" s="6">
        <f>Tabela3[[#This Row],[CUSTO UNITÁRIO]]*Tabela3[[#This Row],[QUANTIDADE]]</f>
        <v>20.99</v>
      </c>
      <c r="H96" s="32" t="s">
        <v>144</v>
      </c>
    </row>
    <row r="97" spans="2:8" ht="30" hidden="1" customHeight="1">
      <c r="B97" s="3">
        <v>44498</v>
      </c>
      <c r="C97" s="4" t="s">
        <v>37</v>
      </c>
      <c r="D97" s="2" t="s">
        <v>131</v>
      </c>
      <c r="E97" s="5">
        <v>1</v>
      </c>
      <c r="F97" s="6">
        <v>20.29</v>
      </c>
      <c r="G97" s="6">
        <f>Tabela3[[#This Row],[CUSTO UNITÁRIO]]*Tabela3[[#This Row],[QUANTIDADE]]</f>
        <v>20.29</v>
      </c>
      <c r="H97" s="32" t="s">
        <v>144</v>
      </c>
    </row>
    <row r="98" spans="2:8" ht="30" hidden="1" customHeight="1">
      <c r="B98" s="3">
        <v>44498</v>
      </c>
      <c r="C98" s="4" t="s">
        <v>41</v>
      </c>
      <c r="D98" s="2" t="s">
        <v>131</v>
      </c>
      <c r="E98" s="5">
        <v>3</v>
      </c>
      <c r="F98" s="6">
        <v>14.43</v>
      </c>
      <c r="G98" s="6">
        <f>Tabela3[[#This Row],[CUSTO UNITÁRIO]]*Tabela3[[#This Row],[QUANTIDADE]]</f>
        <v>43.29</v>
      </c>
      <c r="H98" s="18" t="s">
        <v>145</v>
      </c>
    </row>
    <row r="99" spans="2:8" ht="30" hidden="1" customHeight="1">
      <c r="B99" s="3">
        <v>44498</v>
      </c>
      <c r="C99" s="4" t="s">
        <v>83</v>
      </c>
      <c r="D99" s="2" t="s">
        <v>131</v>
      </c>
      <c r="E99" s="5">
        <v>1</v>
      </c>
      <c r="F99" s="6">
        <v>50</v>
      </c>
      <c r="G99" s="6">
        <f>Tabela3[[#This Row],[CUSTO UNITÁRIO]]*Tabela3[[#This Row],[QUANTIDADE]]</f>
        <v>50</v>
      </c>
      <c r="H99" s="18" t="s">
        <v>146</v>
      </c>
    </row>
    <row r="100" spans="2:8" ht="30" hidden="1" customHeight="1">
      <c r="B100" s="3">
        <v>44499</v>
      </c>
      <c r="C100" s="4" t="s">
        <v>10</v>
      </c>
      <c r="D100" s="2" t="s">
        <v>131</v>
      </c>
      <c r="E100" s="5">
        <v>1</v>
      </c>
      <c r="F100" s="6">
        <v>11.07</v>
      </c>
      <c r="G100" s="6">
        <f>Tabela3[[#This Row],[CUSTO UNITÁRIO]]*Tabela3[[#This Row],[QUANTIDADE]]</f>
        <v>11.07</v>
      </c>
      <c r="H100" s="18" t="s">
        <v>134</v>
      </c>
    </row>
    <row r="101" spans="2:8" ht="30" customHeight="1">
      <c r="B101" s="3">
        <v>44500</v>
      </c>
      <c r="C101" s="4" t="s">
        <v>14</v>
      </c>
      <c r="D101" s="2" t="s">
        <v>131</v>
      </c>
      <c r="E101" s="5">
        <v>10</v>
      </c>
      <c r="F101" s="6">
        <v>12.66</v>
      </c>
      <c r="G101" s="6">
        <f>Tabela3[[#This Row],[CUSTO UNITÁRIO]]*Tabela3[[#This Row],[QUANTIDADE]]</f>
        <v>126.6</v>
      </c>
      <c r="H101" s="18" t="s">
        <v>147</v>
      </c>
    </row>
    <row r="102" spans="2:8" ht="30" customHeight="1">
      <c r="B102" s="3">
        <v>44501</v>
      </c>
      <c r="C102" s="4" t="s">
        <v>6</v>
      </c>
      <c r="D102" s="2" t="s">
        <v>131</v>
      </c>
      <c r="E102" s="5">
        <v>1</v>
      </c>
      <c r="F102" s="6">
        <v>15.52</v>
      </c>
      <c r="G102" s="6">
        <f>Tabela3[[#This Row],[CUSTO UNITÁRIO]]*Tabela3[[#This Row],[QUANTIDADE]]</f>
        <v>15.52</v>
      </c>
      <c r="H102" s="32" t="s">
        <v>148</v>
      </c>
    </row>
    <row r="103" spans="2:8" ht="30" customHeight="1">
      <c r="B103" s="3">
        <v>44501</v>
      </c>
      <c r="C103" s="4" t="s">
        <v>54</v>
      </c>
      <c r="D103" s="2" t="s">
        <v>131</v>
      </c>
      <c r="E103" s="5">
        <v>1</v>
      </c>
      <c r="F103" s="6">
        <v>20.28</v>
      </c>
      <c r="G103" s="6">
        <f>Tabela3[[#This Row],[CUSTO UNITÁRIO]]*Tabela3[[#This Row],[QUANTIDADE]]</f>
        <v>20.28</v>
      </c>
      <c r="H103" s="32" t="s">
        <v>149</v>
      </c>
    </row>
    <row r="104" spans="2:8" ht="30" customHeight="1">
      <c r="B104" s="3">
        <v>44501</v>
      </c>
      <c r="C104" s="4" t="s">
        <v>84</v>
      </c>
      <c r="D104" s="2" t="s">
        <v>131</v>
      </c>
      <c r="E104" s="5">
        <v>1</v>
      </c>
      <c r="F104" s="6">
        <v>20.28</v>
      </c>
      <c r="G104" s="6">
        <f>Tabela3[[#This Row],[CUSTO UNITÁRIO]]*Tabela3[[#This Row],[QUANTIDADE]]</f>
        <v>20.28</v>
      </c>
      <c r="H104" s="32" t="s">
        <v>149</v>
      </c>
    </row>
    <row r="105" spans="2:8" ht="30" customHeight="1">
      <c r="B105" s="3">
        <v>44501</v>
      </c>
      <c r="C105" s="4" t="s">
        <v>29</v>
      </c>
      <c r="D105" s="2" t="s">
        <v>131</v>
      </c>
      <c r="E105" s="5">
        <v>1</v>
      </c>
      <c r="F105" s="6">
        <v>20.28</v>
      </c>
      <c r="G105" s="6">
        <f>Tabela3[[#This Row],[CUSTO UNITÁRIO]]*Tabela3[[#This Row],[QUANTIDADE]]</f>
        <v>20.28</v>
      </c>
      <c r="H105" s="32" t="s">
        <v>149</v>
      </c>
    </row>
    <row r="106" spans="2:8" ht="30" customHeight="1">
      <c r="B106" s="3">
        <v>44501</v>
      </c>
      <c r="C106" s="4" t="s">
        <v>55</v>
      </c>
      <c r="D106" s="2" t="s">
        <v>131</v>
      </c>
      <c r="E106" s="5">
        <v>1</v>
      </c>
      <c r="F106" s="6">
        <v>20.28</v>
      </c>
      <c r="G106" s="6">
        <f>Tabela3[[#This Row],[CUSTO UNITÁRIO]]*Tabela3[[#This Row],[QUANTIDADE]]</f>
        <v>20.28</v>
      </c>
      <c r="H106" s="32" t="s">
        <v>150</v>
      </c>
    </row>
    <row r="107" spans="2:8" ht="30" customHeight="1">
      <c r="B107" s="3">
        <v>44501</v>
      </c>
      <c r="C107" s="4" t="s">
        <v>56</v>
      </c>
      <c r="D107" s="2" t="s">
        <v>131</v>
      </c>
      <c r="E107" s="5">
        <v>1</v>
      </c>
      <c r="F107" s="6">
        <v>20.28</v>
      </c>
      <c r="G107" s="6">
        <f>Tabela3[[#This Row],[CUSTO UNITÁRIO]]*Tabela3[[#This Row],[QUANTIDADE]]</f>
        <v>20.28</v>
      </c>
      <c r="H107" s="32" t="s">
        <v>150</v>
      </c>
    </row>
    <row r="108" spans="2:8" ht="30" customHeight="1">
      <c r="B108" s="3">
        <v>44501</v>
      </c>
      <c r="C108" s="4" t="s">
        <v>29</v>
      </c>
      <c r="D108" s="2" t="s">
        <v>131</v>
      </c>
      <c r="E108" s="5">
        <v>1</v>
      </c>
      <c r="F108" s="6">
        <v>20.28</v>
      </c>
      <c r="G108" s="6">
        <f>Tabela3[[#This Row],[CUSTO UNITÁRIO]]*Tabela3[[#This Row],[QUANTIDADE]]</f>
        <v>20.28</v>
      </c>
      <c r="H108" s="32" t="s">
        <v>150</v>
      </c>
    </row>
    <row r="109" spans="2:8" ht="30" customHeight="1">
      <c r="B109" s="3">
        <v>44501</v>
      </c>
      <c r="C109" s="4" t="s">
        <v>11</v>
      </c>
      <c r="D109" s="2" t="s">
        <v>131</v>
      </c>
      <c r="E109" s="5">
        <v>3</v>
      </c>
      <c r="F109" s="6">
        <v>10.66</v>
      </c>
      <c r="G109" s="6">
        <f>Tabela3[[#This Row],[CUSTO UNITÁRIO]]*Tabela3[[#This Row],[QUANTIDADE]]</f>
        <v>31.98</v>
      </c>
      <c r="H109" s="18" t="s">
        <v>134</v>
      </c>
    </row>
    <row r="110" spans="2:8" ht="30" customHeight="1">
      <c r="B110" s="3">
        <v>44502</v>
      </c>
      <c r="C110" s="4" t="s">
        <v>29</v>
      </c>
      <c r="D110" s="2" t="s">
        <v>131</v>
      </c>
      <c r="E110" s="5">
        <v>2</v>
      </c>
      <c r="F110" s="6">
        <v>20.25</v>
      </c>
      <c r="G110" s="6">
        <f>Tabela3[[#This Row],[CUSTO UNITÁRIO]]*Tabela3[[#This Row],[QUANTIDADE]]</f>
        <v>40.5</v>
      </c>
      <c r="H110" s="32" t="s">
        <v>151</v>
      </c>
    </row>
    <row r="111" spans="2:8" ht="30" customHeight="1">
      <c r="B111" s="3">
        <v>44502</v>
      </c>
      <c r="C111" s="4" t="s">
        <v>5</v>
      </c>
      <c r="D111" s="2" t="s">
        <v>131</v>
      </c>
      <c r="E111" s="5">
        <v>1</v>
      </c>
      <c r="F111" s="6">
        <v>41.94</v>
      </c>
      <c r="G111" s="6">
        <f>Tabela3[[#This Row],[CUSTO UNITÁRIO]]*Tabela3[[#This Row],[QUANTIDADE]]</f>
        <v>41.94</v>
      </c>
      <c r="H111" s="32" t="s">
        <v>151</v>
      </c>
    </row>
    <row r="112" spans="2:8" ht="30" customHeight="1">
      <c r="B112" s="3">
        <v>44502</v>
      </c>
      <c r="C112" s="4" t="s">
        <v>43</v>
      </c>
      <c r="D112" s="2" t="s">
        <v>131</v>
      </c>
      <c r="E112" s="5">
        <v>1</v>
      </c>
      <c r="F112" s="6">
        <v>8.49</v>
      </c>
      <c r="G112" s="6">
        <f>Tabela3[[#This Row],[CUSTO UNITÁRIO]]*Tabela3[[#This Row],[QUANTIDADE]]</f>
        <v>8.49</v>
      </c>
      <c r="H112" s="32" t="s">
        <v>152</v>
      </c>
    </row>
    <row r="113" spans="2:8" ht="30" customHeight="1">
      <c r="B113" s="3">
        <v>44503</v>
      </c>
      <c r="C113" s="4" t="s">
        <v>42</v>
      </c>
      <c r="D113" s="2" t="s">
        <v>131</v>
      </c>
      <c r="E113" s="5">
        <v>1</v>
      </c>
      <c r="F113" s="6">
        <v>17.350000000000001</v>
      </c>
      <c r="G113" s="6">
        <f>Tabela3[[#This Row],[CUSTO UNITÁRIO]]*Tabela3[[#This Row],[QUANTIDADE]]</f>
        <v>17.350000000000001</v>
      </c>
      <c r="H113" s="32" t="s">
        <v>153</v>
      </c>
    </row>
    <row r="114" spans="2:8" ht="30" customHeight="1">
      <c r="B114" s="3">
        <v>44503</v>
      </c>
      <c r="C114" s="4" t="s">
        <v>43</v>
      </c>
      <c r="D114" s="2" t="s">
        <v>131</v>
      </c>
      <c r="E114" s="5">
        <v>1</v>
      </c>
      <c r="F114" s="6">
        <v>17.350000000000001</v>
      </c>
      <c r="G114" s="6">
        <f>Tabela3[[#This Row],[CUSTO UNITÁRIO]]*Tabela3[[#This Row],[QUANTIDADE]]</f>
        <v>17.350000000000001</v>
      </c>
      <c r="H114" s="32" t="s">
        <v>153</v>
      </c>
    </row>
    <row r="115" spans="2:8" ht="30" customHeight="1">
      <c r="B115" s="3">
        <v>44503</v>
      </c>
      <c r="C115" s="4" t="s">
        <v>5</v>
      </c>
      <c r="D115" s="2" t="s">
        <v>131</v>
      </c>
      <c r="E115" s="5">
        <v>1</v>
      </c>
      <c r="F115" s="6">
        <v>53.51</v>
      </c>
      <c r="G115" s="6">
        <f>Tabela3[[#This Row],[CUSTO UNITÁRIO]]*Tabela3[[#This Row],[QUANTIDADE]]</f>
        <v>53.51</v>
      </c>
      <c r="H115" s="32" t="s">
        <v>153</v>
      </c>
    </row>
    <row r="116" spans="2:8" ht="30" customHeight="1">
      <c r="B116" s="3">
        <v>44504</v>
      </c>
      <c r="C116" s="4" t="s">
        <v>86</v>
      </c>
      <c r="D116" s="2" t="s">
        <v>131</v>
      </c>
      <c r="E116" s="5">
        <v>1</v>
      </c>
      <c r="F116" s="6">
        <v>36.24</v>
      </c>
      <c r="G116" s="6">
        <f>Tabela3[[#This Row],[CUSTO UNITÁRIO]]*Tabela3[[#This Row],[QUANTIDADE]]</f>
        <v>36.24</v>
      </c>
      <c r="H116" s="32" t="s">
        <v>154</v>
      </c>
    </row>
    <row r="117" spans="2:8" ht="30" customHeight="1">
      <c r="B117" s="3">
        <v>44504</v>
      </c>
      <c r="C117" s="4" t="s">
        <v>87</v>
      </c>
      <c r="D117" s="2" t="s">
        <v>131</v>
      </c>
      <c r="E117" s="5">
        <v>1</v>
      </c>
      <c r="F117" s="6">
        <v>40</v>
      </c>
      <c r="G117" s="6">
        <f>Tabela3[[#This Row],[CUSTO UNITÁRIO]]*Tabela3[[#This Row],[QUANTIDADE]]</f>
        <v>40</v>
      </c>
      <c r="H117" s="32" t="s">
        <v>154</v>
      </c>
    </row>
    <row r="118" spans="2:8" ht="30" customHeight="1">
      <c r="B118" s="3">
        <v>44505</v>
      </c>
      <c r="C118" s="4" t="s">
        <v>46</v>
      </c>
      <c r="D118" s="2" t="s">
        <v>131</v>
      </c>
      <c r="E118" s="5">
        <v>1</v>
      </c>
      <c r="F118" s="6">
        <v>8.49</v>
      </c>
      <c r="G118" s="6">
        <f>Tabela3[[#This Row],[CUSTO UNITÁRIO]]*Tabela3[[#This Row],[QUANTIDADE]]</f>
        <v>8.49</v>
      </c>
      <c r="H118" s="54" t="s">
        <v>155</v>
      </c>
    </row>
    <row r="119" spans="2:8" ht="30" customHeight="1">
      <c r="B119" s="3">
        <v>44505</v>
      </c>
      <c r="C119" s="4" t="s">
        <v>88</v>
      </c>
      <c r="D119" s="2" t="s">
        <v>131</v>
      </c>
      <c r="E119" s="5">
        <v>1</v>
      </c>
      <c r="F119" s="6">
        <v>10.130000000000001</v>
      </c>
      <c r="G119" s="6">
        <f>Tabela3[[#This Row],[CUSTO UNITÁRIO]]*Tabela3[[#This Row],[QUANTIDADE]]</f>
        <v>10.130000000000001</v>
      </c>
      <c r="H119" s="32" t="s">
        <v>156</v>
      </c>
    </row>
    <row r="120" spans="2:8" ht="30" customHeight="1">
      <c r="B120" s="3">
        <v>44505</v>
      </c>
      <c r="C120" s="4" t="s">
        <v>89</v>
      </c>
      <c r="D120" s="2" t="s">
        <v>131</v>
      </c>
      <c r="E120" s="5">
        <v>1</v>
      </c>
      <c r="F120" s="6">
        <v>11.6</v>
      </c>
      <c r="G120" s="6">
        <f>Tabela3[[#This Row],[CUSTO UNITÁRIO]]*Tabela3[[#This Row],[QUANTIDADE]]</f>
        <v>11.6</v>
      </c>
      <c r="H120" s="32" t="s">
        <v>157</v>
      </c>
    </row>
    <row r="121" spans="2:8" ht="30" customHeight="1">
      <c r="B121" s="3">
        <v>44505</v>
      </c>
      <c r="C121" s="4" t="s">
        <v>79</v>
      </c>
      <c r="D121" s="2" t="s">
        <v>131</v>
      </c>
      <c r="E121" s="5">
        <v>1</v>
      </c>
      <c r="F121" s="6">
        <v>11.6</v>
      </c>
      <c r="G121" s="6">
        <f>Tabela3[[#This Row],[CUSTO UNITÁRIO]]*Tabela3[[#This Row],[QUANTIDADE]]</f>
        <v>11.6</v>
      </c>
      <c r="H121" s="32" t="s">
        <v>157</v>
      </c>
    </row>
    <row r="122" spans="2:8" ht="30" customHeight="1">
      <c r="B122" s="3">
        <v>44505</v>
      </c>
      <c r="C122" s="4" t="s">
        <v>11</v>
      </c>
      <c r="D122" s="2" t="s">
        <v>131</v>
      </c>
      <c r="E122" s="5">
        <v>3</v>
      </c>
      <c r="F122" s="6">
        <v>13.66</v>
      </c>
      <c r="G122" s="6">
        <f>Tabela3[[#This Row],[CUSTO UNITÁRIO]]*Tabela3[[#This Row],[QUANTIDADE]]</f>
        <v>40.980000000000004</v>
      </c>
      <c r="H122" s="18" t="s">
        <v>158</v>
      </c>
    </row>
    <row r="123" spans="2:8" ht="30" customHeight="1">
      <c r="B123" s="3">
        <v>44505</v>
      </c>
      <c r="C123" s="4" t="s">
        <v>39</v>
      </c>
      <c r="D123" s="2" t="s">
        <v>131</v>
      </c>
      <c r="E123" s="5">
        <v>1</v>
      </c>
      <c r="F123" s="6">
        <v>13.5</v>
      </c>
      <c r="G123" s="6">
        <f>Tabela3[[#This Row],[CUSTO UNITÁRIO]]*Tabela3[[#This Row],[QUANTIDADE]]</f>
        <v>13.5</v>
      </c>
      <c r="H123" s="18" t="s">
        <v>158</v>
      </c>
    </row>
    <row r="124" spans="2:8" ht="30" customHeight="1">
      <c r="B124" s="3">
        <v>44505</v>
      </c>
      <c r="C124" s="4" t="s">
        <v>46</v>
      </c>
      <c r="D124" s="2" t="s">
        <v>131</v>
      </c>
      <c r="E124" s="5">
        <v>1</v>
      </c>
      <c r="F124" s="6">
        <v>8.39</v>
      </c>
      <c r="G124" s="6">
        <f>Tabela3[[#This Row],[CUSTO UNITÁRIO]]*Tabela3[[#This Row],[QUANTIDADE]]</f>
        <v>8.39</v>
      </c>
      <c r="H124" s="32" t="s">
        <v>159</v>
      </c>
    </row>
    <row r="125" spans="2:8" ht="30" customHeight="1">
      <c r="B125" s="3">
        <v>44505</v>
      </c>
      <c r="C125" s="4" t="s">
        <v>90</v>
      </c>
      <c r="D125" s="2" t="s">
        <v>131</v>
      </c>
      <c r="E125" s="5">
        <v>3</v>
      </c>
      <c r="F125" s="6">
        <v>11.53</v>
      </c>
      <c r="G125" s="6">
        <f>Tabela3[[#This Row],[CUSTO UNITÁRIO]]*Tabela3[[#This Row],[QUANTIDADE]]</f>
        <v>34.589999999999996</v>
      </c>
      <c r="H125" s="32" t="s">
        <v>160</v>
      </c>
    </row>
    <row r="126" spans="2:8" ht="30" customHeight="1">
      <c r="B126" s="3">
        <v>44506</v>
      </c>
      <c r="C126" s="4" t="s">
        <v>91</v>
      </c>
      <c r="D126" s="2" t="s">
        <v>131</v>
      </c>
      <c r="E126" s="5">
        <v>1</v>
      </c>
      <c r="F126" s="6">
        <v>31.84</v>
      </c>
      <c r="G126" s="6">
        <f>Tabela3[[#This Row],[CUSTO UNITÁRIO]]*Tabela3[[#This Row],[QUANTIDADE]]</f>
        <v>31.84</v>
      </c>
      <c r="H126" s="32" t="s">
        <v>161</v>
      </c>
    </row>
    <row r="127" spans="2:8" ht="30" customHeight="1">
      <c r="B127" s="3">
        <v>44506</v>
      </c>
      <c r="C127" s="4" t="s">
        <v>45</v>
      </c>
      <c r="D127" s="2" t="s">
        <v>131</v>
      </c>
      <c r="E127" s="5">
        <v>1</v>
      </c>
      <c r="F127" s="6">
        <v>28.98</v>
      </c>
      <c r="G127" s="6">
        <f>Tabela3[[#This Row],[CUSTO UNITÁRIO]]*Tabela3[[#This Row],[QUANTIDADE]]</f>
        <v>28.98</v>
      </c>
      <c r="H127" s="32" t="s">
        <v>161</v>
      </c>
    </row>
    <row r="128" spans="2:8" ht="30" customHeight="1">
      <c r="B128" s="3">
        <v>44506</v>
      </c>
      <c r="C128" s="4" t="s">
        <v>92</v>
      </c>
      <c r="D128" s="2" t="s">
        <v>131</v>
      </c>
      <c r="E128" s="5">
        <v>1</v>
      </c>
      <c r="F128" s="6">
        <v>57.84</v>
      </c>
      <c r="G128" s="6">
        <f>Tabela3[[#This Row],[CUSTO UNITÁRIO]]*Tabela3[[#This Row],[QUANTIDADE]]</f>
        <v>57.84</v>
      </c>
      <c r="H128" s="32" t="s">
        <v>161</v>
      </c>
    </row>
    <row r="129" spans="2:8" ht="30" customHeight="1">
      <c r="B129" s="3">
        <v>44506</v>
      </c>
      <c r="C129" s="4" t="s">
        <v>93</v>
      </c>
      <c r="D129" s="2" t="s">
        <v>131</v>
      </c>
      <c r="E129" s="5">
        <v>1</v>
      </c>
      <c r="F129" s="6">
        <v>26.05</v>
      </c>
      <c r="G129" s="6">
        <f>Tabela3[[#This Row],[CUSTO UNITÁRIO]]*Tabela3[[#This Row],[QUANTIDADE]]</f>
        <v>26.05</v>
      </c>
      <c r="H129" s="32" t="s">
        <v>162</v>
      </c>
    </row>
    <row r="130" spans="2:8" ht="30" customHeight="1">
      <c r="B130" s="3">
        <v>44506</v>
      </c>
      <c r="C130" s="4" t="s">
        <v>43</v>
      </c>
      <c r="D130" s="2" t="s">
        <v>131</v>
      </c>
      <c r="E130" s="5">
        <v>1</v>
      </c>
      <c r="F130" s="6">
        <v>17.41</v>
      </c>
      <c r="G130" s="6">
        <f>Tabela3[[#This Row],[CUSTO UNITÁRIO]]*Tabela3[[#This Row],[QUANTIDADE]]</f>
        <v>17.41</v>
      </c>
      <c r="H130" s="32" t="s">
        <v>162</v>
      </c>
    </row>
    <row r="131" spans="2:8" ht="30" customHeight="1">
      <c r="B131" s="3">
        <v>44506</v>
      </c>
      <c r="C131" s="4" t="s">
        <v>94</v>
      </c>
      <c r="D131" s="2" t="s">
        <v>131</v>
      </c>
      <c r="E131" s="5">
        <v>1</v>
      </c>
      <c r="F131" s="6">
        <v>11.63</v>
      </c>
      <c r="G131" s="6">
        <f>Tabela3[[#This Row],[CUSTO UNITÁRIO]]*Tabela3[[#This Row],[QUANTIDADE]]</f>
        <v>11.63</v>
      </c>
      <c r="H131" s="32" t="s">
        <v>162</v>
      </c>
    </row>
    <row r="132" spans="2:8" ht="30" customHeight="1">
      <c r="B132" s="3">
        <v>44506</v>
      </c>
      <c r="C132" s="4" t="s">
        <v>95</v>
      </c>
      <c r="D132" s="2" t="s">
        <v>131</v>
      </c>
      <c r="E132" s="5">
        <v>1</v>
      </c>
      <c r="F132" s="6">
        <v>14.51</v>
      </c>
      <c r="G132" s="6">
        <f>Tabela3[[#This Row],[CUSTO UNITÁRIO]]*Tabela3[[#This Row],[QUANTIDADE]]</f>
        <v>14.51</v>
      </c>
      <c r="H132" s="32" t="s">
        <v>163</v>
      </c>
    </row>
    <row r="133" spans="2:8" ht="30" customHeight="1">
      <c r="B133" s="3">
        <v>44506</v>
      </c>
      <c r="C133" s="4" t="s">
        <v>43</v>
      </c>
      <c r="D133" s="2" t="s">
        <v>131</v>
      </c>
      <c r="E133" s="5">
        <v>1</v>
      </c>
      <c r="F133" s="6">
        <v>17.43</v>
      </c>
      <c r="G133" s="6">
        <f>Tabela3[[#This Row],[CUSTO UNITÁRIO]]*Tabela3[[#This Row],[QUANTIDADE]]</f>
        <v>17.43</v>
      </c>
      <c r="H133" s="32" t="s">
        <v>163</v>
      </c>
    </row>
    <row r="134" spans="2:8" ht="30" customHeight="1">
      <c r="B134" s="3">
        <v>44506</v>
      </c>
      <c r="C134" s="4" t="s">
        <v>96</v>
      </c>
      <c r="D134" s="2" t="s">
        <v>131</v>
      </c>
      <c r="E134" s="5">
        <v>1</v>
      </c>
      <c r="F134" s="6">
        <v>20.3</v>
      </c>
      <c r="G134" s="6">
        <f>Tabela3[[#This Row],[CUSTO UNITÁRIO]]*Tabela3[[#This Row],[QUANTIDADE]]</f>
        <v>20.3</v>
      </c>
      <c r="H134" s="32" t="s">
        <v>163</v>
      </c>
    </row>
    <row r="135" spans="2:8" ht="30" customHeight="1">
      <c r="B135" s="3">
        <v>44506</v>
      </c>
      <c r="C135" s="4" t="s">
        <v>98</v>
      </c>
      <c r="D135" s="2" t="s">
        <v>131</v>
      </c>
      <c r="E135" s="5">
        <v>1</v>
      </c>
      <c r="F135" s="6">
        <v>13.03</v>
      </c>
      <c r="G135" s="6">
        <f>Tabela3[[#This Row],[CUSTO UNITÁRIO]]*Tabela3[[#This Row],[QUANTIDADE]]</f>
        <v>13.03</v>
      </c>
      <c r="H135" s="32" t="s">
        <v>164</v>
      </c>
    </row>
    <row r="136" spans="2:8" ht="30" customHeight="1">
      <c r="B136" s="3">
        <v>44506</v>
      </c>
      <c r="C136" s="4" t="s">
        <v>97</v>
      </c>
      <c r="D136" s="2" t="s">
        <v>131</v>
      </c>
      <c r="E136" s="5">
        <v>1</v>
      </c>
      <c r="F136" s="6">
        <v>11.64</v>
      </c>
      <c r="G136" s="6">
        <f>Tabela3[[#This Row],[CUSTO UNITÁRIO]]*Tabela3[[#This Row],[QUANTIDADE]]</f>
        <v>11.64</v>
      </c>
      <c r="H136" s="32" t="s">
        <v>164</v>
      </c>
    </row>
    <row r="137" spans="2:8" ht="30" customHeight="1">
      <c r="B137" s="3">
        <v>44506</v>
      </c>
      <c r="C137" s="4" t="s">
        <v>99</v>
      </c>
      <c r="D137" s="2" t="s">
        <v>131</v>
      </c>
      <c r="E137" s="5">
        <v>1</v>
      </c>
      <c r="F137" s="6">
        <v>15.92</v>
      </c>
      <c r="G137" s="6">
        <f>Tabela3[[#This Row],[CUSTO UNITÁRIO]]*Tabela3[[#This Row],[QUANTIDADE]]</f>
        <v>15.92</v>
      </c>
      <c r="H137" s="32" t="s">
        <v>165</v>
      </c>
    </row>
    <row r="138" spans="2:8" ht="30" customHeight="1">
      <c r="B138" s="3">
        <v>44506</v>
      </c>
      <c r="C138" s="4" t="s">
        <v>100</v>
      </c>
      <c r="D138" s="2" t="s">
        <v>131</v>
      </c>
      <c r="E138" s="5">
        <v>1</v>
      </c>
      <c r="F138" s="6">
        <v>15.92</v>
      </c>
      <c r="G138" s="6">
        <f>Tabela3[[#This Row],[CUSTO UNITÁRIO]]*Tabela3[[#This Row],[QUANTIDADE]]</f>
        <v>15.92</v>
      </c>
      <c r="H138" s="32" t="s">
        <v>165</v>
      </c>
    </row>
    <row r="139" spans="2:8" ht="30" customHeight="1">
      <c r="B139" s="3">
        <v>44509</v>
      </c>
      <c r="C139" s="4" t="s">
        <v>43</v>
      </c>
      <c r="D139" s="2" t="s">
        <v>131</v>
      </c>
      <c r="E139" s="5">
        <v>1</v>
      </c>
      <c r="F139" s="6">
        <v>17.43</v>
      </c>
      <c r="G139" s="6">
        <f>Tabela3[[#This Row],[CUSTO UNITÁRIO]]*Tabela3[[#This Row],[QUANTIDADE]]</f>
        <v>17.43</v>
      </c>
      <c r="H139" s="32" t="s">
        <v>166</v>
      </c>
    </row>
    <row r="140" spans="2:8" ht="30" customHeight="1">
      <c r="B140" s="3">
        <v>44509</v>
      </c>
      <c r="C140" s="4" t="s">
        <v>89</v>
      </c>
      <c r="D140" s="2" t="s">
        <v>131</v>
      </c>
      <c r="E140" s="5">
        <v>1</v>
      </c>
      <c r="F140" s="6">
        <v>11.64</v>
      </c>
      <c r="G140" s="6">
        <f>Tabela3[[#This Row],[CUSTO UNITÁRIO]]*Tabela3[[#This Row],[QUANTIDADE]]</f>
        <v>11.64</v>
      </c>
      <c r="H140" s="32" t="s">
        <v>166</v>
      </c>
    </row>
    <row r="141" spans="2:8" ht="30" customHeight="1">
      <c r="B141" s="3">
        <v>44509</v>
      </c>
      <c r="C141" s="4" t="s">
        <v>11</v>
      </c>
      <c r="D141" s="2" t="s">
        <v>131</v>
      </c>
      <c r="E141" s="5">
        <v>1</v>
      </c>
      <c r="F141" s="6">
        <v>11.64</v>
      </c>
      <c r="G141" s="6">
        <f>Tabela3[[#This Row],[CUSTO UNITÁRIO]]*Tabela3[[#This Row],[QUANTIDADE]]</f>
        <v>11.64</v>
      </c>
      <c r="H141" s="32" t="s">
        <v>167</v>
      </c>
    </row>
    <row r="142" spans="2:8" ht="30" customHeight="1">
      <c r="B142" s="3">
        <v>44509</v>
      </c>
      <c r="C142" s="4" t="s">
        <v>100</v>
      </c>
      <c r="D142" s="2" t="s">
        <v>131</v>
      </c>
      <c r="E142" s="5">
        <v>1</v>
      </c>
      <c r="F142" s="6">
        <v>13.1</v>
      </c>
      <c r="G142" s="6">
        <f>Tabela3[[#This Row],[CUSTO UNITÁRIO]]*Tabela3[[#This Row],[QUANTIDADE]]</f>
        <v>13.1</v>
      </c>
      <c r="H142" s="32" t="s">
        <v>167</v>
      </c>
    </row>
    <row r="143" spans="2:8" ht="30" customHeight="1">
      <c r="B143" s="3">
        <v>44509</v>
      </c>
      <c r="C143" s="4" t="s">
        <v>101</v>
      </c>
      <c r="D143" s="2" t="s">
        <v>131</v>
      </c>
      <c r="E143" s="5">
        <v>1</v>
      </c>
      <c r="F143" s="6">
        <v>36.21</v>
      </c>
      <c r="G143" s="6">
        <f>Tabela3[[#This Row],[CUSTO UNITÁRIO]]*Tabela3[[#This Row],[QUANTIDADE]]</f>
        <v>36.21</v>
      </c>
      <c r="H143" s="32" t="s">
        <v>168</v>
      </c>
    </row>
    <row r="144" spans="2:8" ht="30" customHeight="1">
      <c r="B144" s="3">
        <v>44510</v>
      </c>
      <c r="C144" s="4" t="s">
        <v>102</v>
      </c>
      <c r="D144" s="2" t="s">
        <v>131</v>
      </c>
      <c r="E144" s="5">
        <v>1</v>
      </c>
      <c r="F144" s="6">
        <v>11.58</v>
      </c>
      <c r="G144" s="6">
        <f>Tabela3[[#This Row],[CUSTO UNITÁRIO]]*Tabela3[[#This Row],[QUANTIDADE]]</f>
        <v>11.58</v>
      </c>
      <c r="H144" s="32" t="s">
        <v>169</v>
      </c>
    </row>
    <row r="145" spans="2:8" ht="30" customHeight="1">
      <c r="B145" s="3">
        <v>44510</v>
      </c>
      <c r="C145" s="4" t="s">
        <v>103</v>
      </c>
      <c r="D145" s="2" t="s">
        <v>131</v>
      </c>
      <c r="E145" s="5">
        <v>1</v>
      </c>
      <c r="F145" s="6">
        <v>34.81</v>
      </c>
      <c r="G145" s="6">
        <f>Tabela3[[#This Row],[CUSTO UNITÁRIO]]*Tabela3[[#This Row],[QUANTIDADE]]</f>
        <v>34.81</v>
      </c>
      <c r="H145" s="32" t="s">
        <v>170</v>
      </c>
    </row>
    <row r="146" spans="2:8" ht="30" customHeight="1">
      <c r="B146" s="3">
        <v>44510</v>
      </c>
      <c r="C146" s="4" t="s">
        <v>43</v>
      </c>
      <c r="D146" s="2" t="s">
        <v>131</v>
      </c>
      <c r="E146" s="5">
        <v>2</v>
      </c>
      <c r="F146" s="6">
        <v>13.04</v>
      </c>
      <c r="G146" s="6">
        <f>Tabela3[[#This Row],[CUSTO UNITÁRIO]]*Tabela3[[#This Row],[QUANTIDADE]]</f>
        <v>26.08</v>
      </c>
      <c r="H146" s="32" t="s">
        <v>170</v>
      </c>
    </row>
    <row r="147" spans="2:8" ht="30" customHeight="1">
      <c r="B147" s="3">
        <v>44510</v>
      </c>
      <c r="C147" s="4" t="s">
        <v>46</v>
      </c>
      <c r="D147" s="2" t="s">
        <v>131</v>
      </c>
      <c r="E147" s="5">
        <v>1</v>
      </c>
      <c r="F147" s="6">
        <v>8.36</v>
      </c>
      <c r="G147" s="6">
        <f>Tabela3[[#This Row],[CUSTO UNITÁRIO]]*Tabela3[[#This Row],[QUANTIDADE]]</f>
        <v>8.36</v>
      </c>
      <c r="H147" s="32" t="s">
        <v>171</v>
      </c>
    </row>
    <row r="148" spans="2:8" ht="30" customHeight="1">
      <c r="B148" s="3">
        <v>44511</v>
      </c>
      <c r="C148" s="4" t="s">
        <v>11</v>
      </c>
      <c r="D148" s="2" t="s">
        <v>131</v>
      </c>
      <c r="E148" s="5">
        <v>2</v>
      </c>
      <c r="F148" s="6">
        <v>9.27</v>
      </c>
      <c r="G148" s="6">
        <f>Tabela3[[#This Row],[CUSTO UNITÁRIO]]*Tabela3[[#This Row],[QUANTIDADE]]</f>
        <v>18.54</v>
      </c>
      <c r="H148" s="32" t="s">
        <v>173</v>
      </c>
    </row>
    <row r="149" spans="2:8" ht="30" customHeight="1">
      <c r="B149" s="3">
        <v>44511</v>
      </c>
      <c r="C149" s="4" t="s">
        <v>53</v>
      </c>
      <c r="D149" s="2" t="s">
        <v>131</v>
      </c>
      <c r="E149" s="5">
        <v>1</v>
      </c>
      <c r="F149" s="6">
        <v>49</v>
      </c>
      <c r="G149" s="6">
        <f>Tabela3[[#This Row],[CUSTO UNITÁRIO]]*Tabela3[[#This Row],[QUANTIDADE]]</f>
        <v>49</v>
      </c>
      <c r="H149" s="32" t="s">
        <v>174</v>
      </c>
    </row>
    <row r="150" spans="2:8" ht="30" customHeight="1">
      <c r="B150" s="3">
        <v>44511</v>
      </c>
      <c r="C150" s="4" t="s">
        <v>6</v>
      </c>
      <c r="D150" s="2" t="s">
        <v>131</v>
      </c>
      <c r="E150" s="5">
        <v>2</v>
      </c>
      <c r="F150" s="6">
        <v>18.8</v>
      </c>
      <c r="G150" s="6">
        <f>Tabela3[[#This Row],[CUSTO UNITÁRIO]]*Tabela3[[#This Row],[QUANTIDADE]]</f>
        <v>37.6</v>
      </c>
      <c r="H150" s="32" t="s">
        <v>174</v>
      </c>
    </row>
    <row r="151" spans="2:8" ht="30" customHeight="1"/>
    <row r="152" spans="2:8" ht="30" customHeight="1"/>
    <row r="153" spans="2:8" ht="30" customHeight="1"/>
    <row r="154" spans="2:8" ht="30" customHeight="1"/>
    <row r="155" spans="2:8" ht="30" customHeight="1"/>
    <row r="156" spans="2:8" ht="30" customHeight="1"/>
    <row r="157" spans="2:8" ht="30" customHeight="1"/>
    <row r="158" spans="2:8" ht="30" customHeight="1"/>
    <row r="159" spans="2:8" ht="30" customHeight="1"/>
    <row r="160" spans="2:8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  <row r="590" ht="30" customHeight="1"/>
    <row r="591" ht="30" customHeight="1"/>
    <row r="592" ht="30" customHeight="1"/>
    <row r="593" ht="30" customHeight="1"/>
    <row r="594" ht="30" customHeight="1"/>
    <row r="595" ht="30" customHeight="1"/>
    <row r="596" ht="30" customHeight="1"/>
    <row r="597" ht="30" customHeight="1"/>
    <row r="598" ht="30" customHeight="1"/>
    <row r="599" ht="30" customHeight="1"/>
    <row r="600" ht="30" customHeight="1"/>
    <row r="601" ht="30" customHeight="1"/>
    <row r="602" ht="30" customHeight="1"/>
    <row r="603" ht="30" customHeight="1"/>
    <row r="604" ht="30" customHeight="1"/>
    <row r="605" ht="30" customHeight="1"/>
    <row r="606" ht="30" customHeight="1"/>
    <row r="607" ht="30" customHeight="1"/>
    <row r="608" ht="30" customHeight="1"/>
    <row r="609" ht="30" customHeight="1"/>
    <row r="610" ht="30" customHeight="1"/>
    <row r="611" ht="30" customHeight="1"/>
    <row r="612" ht="30" customHeight="1"/>
    <row r="613" ht="30" customHeight="1"/>
    <row r="614" ht="30" customHeight="1"/>
    <row r="615" ht="30" customHeight="1"/>
    <row r="616" ht="30" customHeight="1"/>
    <row r="617" ht="30" customHeight="1"/>
    <row r="618" ht="30" customHeight="1"/>
    <row r="619" ht="30" customHeight="1"/>
    <row r="620" ht="30" customHeight="1"/>
    <row r="621" ht="30" customHeight="1"/>
    <row r="622" ht="30" customHeight="1"/>
    <row r="623" ht="30" customHeight="1"/>
    <row r="624" ht="30" customHeight="1"/>
    <row r="625" ht="30" customHeight="1"/>
    <row r="626" ht="30" customHeight="1"/>
    <row r="627" ht="30" customHeight="1"/>
    <row r="628" ht="30" customHeight="1"/>
    <row r="629" ht="30" customHeight="1"/>
    <row r="630" ht="30" customHeight="1"/>
    <row r="631" ht="30" customHeight="1"/>
    <row r="632" ht="30" customHeight="1"/>
    <row r="633" ht="30" customHeight="1"/>
    <row r="634" ht="30" customHeight="1"/>
    <row r="635" ht="30" customHeight="1"/>
    <row r="636" ht="30" customHeight="1"/>
    <row r="637" ht="30" customHeight="1"/>
    <row r="638" ht="30" customHeight="1"/>
    <row r="639" ht="30" customHeight="1"/>
    <row r="640" ht="30" customHeight="1"/>
    <row r="641" ht="30" customHeight="1"/>
    <row r="642" ht="30" customHeight="1"/>
    <row r="643" ht="30" customHeight="1"/>
    <row r="644" ht="30" customHeight="1"/>
    <row r="645" ht="30" customHeight="1"/>
    <row r="646" ht="30" customHeight="1"/>
    <row r="647" ht="30" customHeight="1"/>
    <row r="648" ht="30" customHeight="1"/>
    <row r="649" ht="30" customHeight="1"/>
    <row r="650" ht="30" customHeight="1"/>
    <row r="651" ht="30" customHeight="1"/>
    <row r="652" ht="30" customHeight="1"/>
    <row r="653" ht="30" customHeight="1"/>
    <row r="654" ht="30" customHeight="1"/>
    <row r="655" ht="30" customHeight="1"/>
    <row r="656" ht="30" customHeight="1"/>
    <row r="657" ht="30" customHeight="1"/>
    <row r="658" ht="30" customHeight="1"/>
    <row r="659" ht="30" customHeight="1"/>
    <row r="660" ht="30" customHeight="1"/>
    <row r="661" ht="30" customHeight="1"/>
    <row r="662" ht="30" customHeight="1"/>
    <row r="663" ht="30" customHeight="1"/>
    <row r="664" ht="30" customHeight="1"/>
    <row r="665" ht="30" customHeight="1"/>
    <row r="666" ht="30" customHeight="1"/>
    <row r="667" ht="30" customHeight="1"/>
    <row r="668" ht="30" customHeight="1"/>
    <row r="669" ht="30" customHeight="1"/>
    <row r="670" ht="30" customHeight="1"/>
    <row r="671" ht="30" customHeight="1"/>
    <row r="672" ht="30" customHeight="1"/>
    <row r="673" ht="30" customHeight="1"/>
    <row r="674" ht="30" customHeight="1"/>
    <row r="675" ht="30" customHeight="1"/>
    <row r="676" ht="30" customHeight="1"/>
    <row r="677" ht="30" customHeight="1"/>
    <row r="678" ht="30" customHeight="1"/>
    <row r="679" ht="30" customHeight="1"/>
    <row r="680" ht="30" customHeight="1"/>
    <row r="681" ht="30" customHeight="1"/>
    <row r="682" ht="30" customHeight="1"/>
    <row r="683" ht="30" customHeight="1"/>
    <row r="684" ht="30" customHeight="1"/>
    <row r="685" ht="30" customHeight="1"/>
    <row r="686" ht="30" customHeight="1"/>
    <row r="687" ht="30" customHeight="1"/>
    <row r="688" ht="30" customHeight="1"/>
    <row r="689" ht="30" customHeight="1"/>
    <row r="690" ht="30" customHeight="1"/>
    <row r="691" ht="30" customHeight="1"/>
    <row r="692" ht="30" customHeight="1"/>
    <row r="693" ht="30" customHeight="1"/>
    <row r="694" ht="30" customHeight="1"/>
    <row r="695" ht="30" customHeight="1"/>
    <row r="696" ht="30" customHeight="1"/>
    <row r="697" ht="30" customHeight="1"/>
    <row r="698" ht="30" customHeight="1"/>
    <row r="699" ht="30" customHeight="1"/>
    <row r="700" ht="30" customHeight="1"/>
    <row r="701" ht="30" customHeight="1"/>
    <row r="702" ht="30" customHeight="1"/>
    <row r="703" ht="30" customHeight="1"/>
    <row r="704" ht="30" customHeight="1"/>
    <row r="705" ht="30" customHeight="1"/>
    <row r="706" ht="30" customHeight="1"/>
    <row r="707" ht="30" customHeight="1"/>
    <row r="708" ht="30" customHeight="1"/>
    <row r="709" ht="30" customHeight="1"/>
    <row r="710" ht="30" customHeight="1"/>
    <row r="711" ht="30" customHeight="1"/>
    <row r="712" ht="30" customHeight="1"/>
    <row r="713" ht="30" customHeight="1"/>
    <row r="714" ht="30" customHeight="1"/>
    <row r="715" ht="30" customHeight="1"/>
    <row r="716" ht="30" customHeight="1"/>
    <row r="717" ht="30" customHeight="1"/>
    <row r="718" ht="30" customHeight="1"/>
    <row r="719" ht="30" customHeight="1"/>
    <row r="720" ht="30" customHeight="1"/>
    <row r="721" ht="30" customHeight="1"/>
    <row r="722" ht="30" customHeight="1"/>
    <row r="723" ht="30" customHeight="1"/>
    <row r="724" ht="30" customHeight="1"/>
    <row r="725" ht="30" customHeight="1"/>
    <row r="726" ht="30" customHeight="1"/>
    <row r="727" ht="30" customHeight="1"/>
    <row r="728" ht="30" customHeight="1"/>
    <row r="729" ht="30" customHeight="1"/>
    <row r="730" ht="30" customHeight="1"/>
    <row r="731" ht="30" customHeight="1"/>
    <row r="732" ht="30" customHeight="1"/>
    <row r="733" ht="30" customHeight="1"/>
    <row r="734" ht="30" customHeight="1"/>
    <row r="735" ht="30" customHeight="1"/>
    <row r="736" ht="30" customHeight="1"/>
    <row r="737" ht="30" customHeight="1"/>
    <row r="738" ht="30" customHeight="1"/>
    <row r="739" ht="30" customHeight="1"/>
    <row r="740" ht="30" customHeight="1"/>
    <row r="741" ht="30" customHeight="1"/>
    <row r="742" ht="30" customHeight="1"/>
    <row r="743" ht="30" customHeight="1"/>
    <row r="744" ht="30" customHeight="1"/>
    <row r="745" ht="30" customHeight="1"/>
    <row r="746" ht="30" customHeight="1"/>
    <row r="747" ht="30" customHeight="1"/>
    <row r="748" ht="30" customHeight="1"/>
    <row r="749" ht="30" customHeight="1"/>
    <row r="750" ht="30" customHeight="1"/>
    <row r="751" ht="30" customHeight="1"/>
    <row r="752" ht="30" customHeight="1"/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</sheetData>
  <conditionalFormatting sqref="D1:D1048576">
    <cfRule type="cellIs" dxfId="1" priority="1" operator="equal">
      <formula>"ENTREGUE"</formula>
    </cfRule>
    <cfRule type="cellIs" dxfId="0" priority="2" operator="equal">
      <formula>"ENVIADO"</formula>
    </cfRule>
  </conditionalFormatting>
  <dataValidations count="2">
    <dataValidation type="list" allowBlank="1" showInputMessage="1" showErrorMessage="1" sqref="C4:C150" xr:uid="{547ABE89-C03D-47DA-B469-0575E9B6C5F3}">
      <formula1>INDIRECT("Tabela1[PRODUTO]")</formula1>
    </dataValidation>
    <dataValidation type="list" showInputMessage="1" showErrorMessage="1" sqref="D4:D150" xr:uid="{FB35AA0B-292F-44A4-A210-2A56B472F681}">
      <formula1>"ENTREGUE,ENVIADO,CANCELADO, EXTRAVIADO"</formula1>
    </dataValidation>
  </dataValidations>
  <hyperlinks>
    <hyperlink ref="H5" r:id="rId1" xr:uid="{0463E7D4-1577-47D5-93E6-F9AC2864F9AC}"/>
    <hyperlink ref="H4" r:id="rId2" xr:uid="{F6891B61-FFD2-4D21-B43C-6726B05E8F38}"/>
    <hyperlink ref="H8" r:id="rId3" xr:uid="{8C5E81CD-38D1-4E3F-B790-32920DD41A27}"/>
    <hyperlink ref="H62:H63" r:id="rId4" display="cacecavala@outlook.com - KELVIN" xr:uid="{A5544C33-4C96-4D14-8B1E-90AEFD172E41}"/>
    <hyperlink ref="H9:H10" r:id="rId5" display="cacecavala@outlook.com - KELVINb [PROCESSANDO]" xr:uid="{6B4323BD-A050-478A-B8A0-4D04C3104D95}"/>
    <hyperlink ref="H9" r:id="rId6" xr:uid="{51D19150-9B52-4D87-AD05-EAB2B661EB99}"/>
    <hyperlink ref="H10" r:id="rId7" xr:uid="{D1D9BCA7-28D1-4AF8-BF62-FAFF22D9C00C}"/>
    <hyperlink ref="H78" r:id="rId8" xr:uid="{4FBCCC27-EBB5-44B0-992B-8D01497AFB42}"/>
    <hyperlink ref="H79" r:id="rId9" xr:uid="{91F90603-E8AA-430A-AE71-BE22E344F830}"/>
    <hyperlink ref="H80" r:id="rId10" xr:uid="{2594B330-96EB-42BF-BDC3-6F04F0FD660E}"/>
    <hyperlink ref="H81" r:id="rId11" xr:uid="{06ACEB1B-3DCF-4A1E-BC7E-ED8EE02EFB5E}"/>
    <hyperlink ref="H82" r:id="rId12" xr:uid="{5692348D-4696-4622-AA58-58D4DA6E6665}"/>
    <hyperlink ref="H83" r:id="rId13" xr:uid="{0F99CFA5-20EB-4235-A0B5-DAEEED3643FF}"/>
    <hyperlink ref="H84" r:id="rId14" xr:uid="{E9F2F3CB-75B0-467A-B590-EEC4AC9DF7FC}"/>
    <hyperlink ref="H85" r:id="rId15" xr:uid="{4B86ADEF-20BA-4F37-94F3-9652AA34F8A0}"/>
    <hyperlink ref="H86" r:id="rId16" xr:uid="{4D3E4E26-C00C-4148-80FF-93276858B311}"/>
    <hyperlink ref="H87" r:id="rId17" xr:uid="{53A9CA48-AF47-4668-AC9F-AB423B3CE15F}"/>
    <hyperlink ref="H88" r:id="rId18" xr:uid="{A4EEF9F7-DA4D-459F-A39E-2F27AF4B3408}"/>
    <hyperlink ref="H89" r:id="rId19" xr:uid="{88B00836-419F-444A-B935-DF4F8174A990}"/>
    <hyperlink ref="H90" r:id="rId20" xr:uid="{DC63A26A-15A3-4D43-9F6A-A3824003F821}"/>
    <hyperlink ref="H92" r:id="rId21" xr:uid="{FBBB99C0-BFD4-4C95-B50C-5E9D5011AB72}"/>
    <hyperlink ref="H93" r:id="rId22" xr:uid="{6DC156B5-E52F-43ED-BDB7-33015485DD40}"/>
    <hyperlink ref="H95" r:id="rId23" xr:uid="{9CCD8D57-FEE3-406C-AE02-3D59E41D4502}"/>
    <hyperlink ref="H96" r:id="rId24" xr:uid="{575B32A4-2027-405C-B599-E00D1EF16089}"/>
    <hyperlink ref="H97" r:id="rId25" xr:uid="{A6B0BF9D-C97F-48BF-A770-768EEC535FEA}"/>
    <hyperlink ref="H102" r:id="rId26" xr:uid="{9F1D344E-A3BC-4430-9175-963BC9517CD9}"/>
    <hyperlink ref="H6:H7" r:id="rId27" display="LEACACER@OUTLOOK.COM KELVIN [PROCESSANDO]" xr:uid="{DA592B83-40D3-4DEB-9764-621C2BE56E88}"/>
    <hyperlink ref="H103" r:id="rId28" xr:uid="{5354300A-9A72-4B0C-A000-25B8EF60DAD1}"/>
    <hyperlink ref="H104" r:id="rId29" xr:uid="{0BC292E3-4A44-4765-9277-0552C3749E2C}"/>
    <hyperlink ref="H105" r:id="rId30" xr:uid="{AE32C340-4B49-479C-953F-2E4970860FB7}"/>
    <hyperlink ref="H106" r:id="rId31" xr:uid="{B79CE2A8-6B7C-44B0-A068-AF2ACBAA07DA}"/>
    <hyperlink ref="H107" r:id="rId32" xr:uid="{15C98D9F-1CFA-4837-972D-D56679376DD4}"/>
    <hyperlink ref="H108" r:id="rId33" xr:uid="{C4DB54AE-B8CA-4C4B-9603-A3F013D6E429}"/>
    <hyperlink ref="H110" r:id="rId34" xr:uid="{BA7FD9B2-8F98-4FBC-A31C-551D3081D9DD}"/>
    <hyperlink ref="H111" r:id="rId35" xr:uid="{CA9C2458-88C3-411D-B671-5D8B211161ED}"/>
    <hyperlink ref="H112" r:id="rId36" xr:uid="{802E4707-B3C4-43CD-A87A-1FB8EF9B93A6}"/>
    <hyperlink ref="H113" r:id="rId37" xr:uid="{14AC3646-20DB-4641-9535-71C0D10AB96A}"/>
    <hyperlink ref="H114" r:id="rId38" xr:uid="{FCCE491A-A5BF-4B66-BED1-641C5E442F40}"/>
    <hyperlink ref="H115" r:id="rId39" xr:uid="{8585A299-3EDF-4EC7-9C55-B2A951DCEAB9}"/>
    <hyperlink ref="H116" r:id="rId40" xr:uid="{21A3E9D1-7588-49D5-B972-D79742EBD339}"/>
    <hyperlink ref="H117" r:id="rId41" xr:uid="{B0386FA6-F3C9-4C59-BAFF-9BD8465E5BE3}"/>
    <hyperlink ref="H119" r:id="rId42" xr:uid="{5F9BE1E0-66D9-484F-A313-9316C8E7E5D5}"/>
    <hyperlink ref="H120" r:id="rId43" xr:uid="{2BC98EA1-0AAE-4382-BBBD-6D97C44EF60F}"/>
    <hyperlink ref="H121" r:id="rId44" xr:uid="{DBDA1D33-3D7B-4DCC-A28E-C4AF8C2E7741}"/>
    <hyperlink ref="H124" r:id="rId45" xr:uid="{E3B833A2-9582-4512-8B63-602D10DE48B9}"/>
    <hyperlink ref="H125" r:id="rId46" xr:uid="{54DF32BC-28C7-4BA2-81F1-EBB67DD399BA}"/>
    <hyperlink ref="H126" r:id="rId47" xr:uid="{05D55345-DD3A-4FC2-8B77-05059D5525FB}"/>
    <hyperlink ref="H127" r:id="rId48" xr:uid="{1BDEC23E-93CA-4835-A10C-A2B850F49428}"/>
    <hyperlink ref="H128" r:id="rId49" xr:uid="{721C8395-28FD-4776-8E25-C11B16F0D22E}"/>
    <hyperlink ref="H129" r:id="rId50" xr:uid="{09072934-DE36-44D1-9B66-5082EA492384}"/>
    <hyperlink ref="H130" r:id="rId51" xr:uid="{827E3DD5-169A-48A6-818A-80B9EC0B6899}"/>
    <hyperlink ref="H131" r:id="rId52" xr:uid="{F800B18F-A0C1-4100-99AA-05072AF349A1}"/>
    <hyperlink ref="H132" r:id="rId53" xr:uid="{BB91718D-6738-4B64-A588-B9019AB513BD}"/>
    <hyperlink ref="H133" r:id="rId54" xr:uid="{85A56308-9BBD-4EF1-BB2A-43CA1349A426}"/>
    <hyperlink ref="H134" r:id="rId55" xr:uid="{1C169BE1-EC12-475B-9A37-56303D8A72AC}"/>
    <hyperlink ref="H135" r:id="rId56" xr:uid="{E3526923-3181-4950-862B-1EBD3A9B2283}"/>
    <hyperlink ref="H136" r:id="rId57" xr:uid="{D5A2665F-4A93-4B96-B56B-72D10BD77941}"/>
    <hyperlink ref="H137" r:id="rId58" xr:uid="{B7D8EF6A-422E-4542-ADEF-C91CC370C446}"/>
    <hyperlink ref="H138" r:id="rId59" xr:uid="{3C58F838-F643-41D6-B913-27CA133D5116}"/>
    <hyperlink ref="H139" r:id="rId60" xr:uid="{6486BF97-447A-48EA-9CD7-C215206C8D0B}"/>
    <hyperlink ref="H140" r:id="rId61" xr:uid="{738BA63B-735A-4E2B-8491-46F2E2E1893D}"/>
    <hyperlink ref="H141" r:id="rId62" xr:uid="{C3228C33-1AEB-4099-A4A5-7777CCF23BE8}"/>
    <hyperlink ref="H142" r:id="rId63" xr:uid="{F0B28FB4-5746-447A-B79A-85AFDA7FBE6B}"/>
    <hyperlink ref="H143" r:id="rId64" xr:uid="{F945B0B0-4386-48A3-8D3E-17423DFC2CF9}"/>
    <hyperlink ref="H144" r:id="rId65" xr:uid="{F4B754CF-7824-49B8-BE06-A6C46F3C947A}"/>
    <hyperlink ref="H145" r:id="rId66" xr:uid="{BAD02DB8-AC14-4766-8DC5-7AC38E7A3C59}"/>
    <hyperlink ref="H146" r:id="rId67" xr:uid="{7C64E3BF-1768-4CE7-A60B-FAA8793A8FA7}"/>
    <hyperlink ref="H147" r:id="rId68" xr:uid="{4F5A2070-5C89-469E-BBCD-2D7B68E0786D}"/>
    <hyperlink ref="H148" r:id="rId69" xr:uid="{C0CCBB58-5FB4-46F8-A715-F0472CA8848F}"/>
    <hyperlink ref="H149" r:id="rId70" xr:uid="{3CB797C7-318A-4A69-BEBD-42ADE64B305F}"/>
    <hyperlink ref="H150" r:id="rId71" xr:uid="{78A0760A-30CF-4C13-93F1-FE60EA22E00C}"/>
  </hyperlinks>
  <pageMargins left="0.511811024" right="0.511811024" top="0.78740157499999996" bottom="0.78740157499999996" header="0.31496062000000002" footer="0.31496062000000002"/>
  <drawing r:id="rId72"/>
  <tableParts count="1">
    <tablePart r:id="rId7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2A0A-600A-4E2C-89E1-12A7F7006132}">
  <sheetPr codeName="Planilha5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VENDAS</vt:lpstr>
      <vt:lpstr>COMPRAS</vt:lpstr>
      <vt:lpstr>EXCELENTEJOAO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</dc:creator>
  <cp:keywords/>
  <dc:description/>
  <cp:lastModifiedBy>KELVIN ARRUDA SILVA</cp:lastModifiedBy>
  <cp:revision/>
  <dcterms:created xsi:type="dcterms:W3CDTF">2023-01-25T21:52:19Z</dcterms:created>
  <dcterms:modified xsi:type="dcterms:W3CDTF">2025-11-13T16:10:28Z</dcterms:modified>
  <cp:category/>
  <cp:contentStatus/>
</cp:coreProperties>
</file>